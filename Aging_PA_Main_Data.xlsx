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gubbi\PycharmProjects\VascularAgeIndex\Lib\"/>
    </mc:Choice>
  </mc:AlternateContent>
  <xr:revisionPtr revIDLastSave="0" documentId="13_ncr:1_{DB7F2AA1-1F1E-4CAC-B563-CCA0F64A8D16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Vascular Age Data" sheetId="1" r:id="rId1"/>
  </sheets>
  <calcPr calcId="181029"/>
</workbook>
</file>

<file path=xl/calcChain.xml><?xml version="1.0" encoding="utf-8"?>
<calcChain xmlns="http://schemas.openxmlformats.org/spreadsheetml/2006/main">
  <c r="E190" i="1" l="1"/>
  <c r="F190" i="1"/>
  <c r="G190" i="1"/>
  <c r="H190" i="1"/>
  <c r="I190" i="1"/>
  <c r="J190" i="1"/>
  <c r="K190" i="1"/>
  <c r="L190" i="1"/>
  <c r="M190" i="1"/>
  <c r="N190" i="1"/>
  <c r="O190" i="1"/>
  <c r="P190" i="1"/>
  <c r="Q190" i="1"/>
  <c r="R190" i="1"/>
  <c r="S190" i="1"/>
  <c r="T190" i="1"/>
  <c r="U190" i="1"/>
  <c r="V190" i="1"/>
  <c r="W190" i="1"/>
  <c r="X190" i="1"/>
  <c r="Y190" i="1"/>
  <c r="Z190" i="1"/>
  <c r="AA190" i="1"/>
  <c r="AB190" i="1"/>
  <c r="AC190" i="1"/>
  <c r="AD190" i="1"/>
  <c r="AE190" i="1"/>
  <c r="AF190" i="1"/>
  <c r="AG190" i="1"/>
  <c r="AH190" i="1"/>
  <c r="AI190" i="1"/>
  <c r="D190" i="1"/>
  <c r="E169" i="1"/>
  <c r="F169" i="1"/>
  <c r="G169" i="1"/>
  <c r="H169" i="1"/>
  <c r="I169" i="1"/>
  <c r="J169" i="1"/>
  <c r="K169" i="1"/>
  <c r="L169" i="1"/>
  <c r="M169" i="1"/>
  <c r="N169" i="1"/>
  <c r="O169" i="1"/>
  <c r="P169" i="1"/>
  <c r="Q169" i="1"/>
  <c r="R169" i="1"/>
  <c r="S169" i="1"/>
  <c r="T169" i="1"/>
  <c r="U169" i="1"/>
  <c r="V169" i="1"/>
  <c r="W169" i="1"/>
  <c r="X169" i="1"/>
  <c r="Y169" i="1"/>
  <c r="Z169" i="1"/>
  <c r="AA169" i="1"/>
  <c r="AB169" i="1"/>
  <c r="AC169" i="1"/>
  <c r="AD169" i="1"/>
  <c r="AE169" i="1"/>
  <c r="AF169" i="1"/>
  <c r="AG169" i="1"/>
  <c r="AH169" i="1"/>
  <c r="AI169" i="1"/>
  <c r="D169" i="1"/>
  <c r="E157" i="1"/>
  <c r="F157" i="1"/>
  <c r="G157" i="1"/>
  <c r="H157" i="1"/>
  <c r="I157" i="1"/>
  <c r="J157" i="1"/>
  <c r="K157" i="1"/>
  <c r="L157" i="1"/>
  <c r="M157" i="1"/>
  <c r="N157" i="1"/>
  <c r="O157" i="1"/>
  <c r="P157" i="1"/>
  <c r="Q157" i="1"/>
  <c r="R157" i="1"/>
  <c r="S157" i="1"/>
  <c r="T157" i="1"/>
  <c r="U157" i="1"/>
  <c r="V157" i="1"/>
  <c r="W157" i="1"/>
  <c r="X157" i="1"/>
  <c r="Y157" i="1"/>
  <c r="Z157" i="1"/>
  <c r="AA157" i="1"/>
  <c r="AB157" i="1"/>
  <c r="AC157" i="1"/>
  <c r="AD157" i="1"/>
  <c r="AE157" i="1"/>
  <c r="AF157" i="1"/>
  <c r="AG157" i="1"/>
  <c r="AH157" i="1"/>
  <c r="AI157" i="1"/>
  <c r="D157" i="1"/>
  <c r="E141" i="1"/>
  <c r="F141" i="1"/>
  <c r="G141" i="1"/>
  <c r="H141" i="1"/>
  <c r="I141" i="1"/>
  <c r="J141" i="1"/>
  <c r="K141" i="1"/>
  <c r="L141" i="1"/>
  <c r="M141" i="1"/>
  <c r="N141" i="1"/>
  <c r="O141" i="1"/>
  <c r="P141" i="1"/>
  <c r="Q141" i="1"/>
  <c r="R141" i="1"/>
  <c r="S141" i="1"/>
  <c r="T141" i="1"/>
  <c r="U141" i="1"/>
  <c r="V141" i="1"/>
  <c r="W141" i="1"/>
  <c r="X141" i="1"/>
  <c r="Y141" i="1"/>
  <c r="Z141" i="1"/>
  <c r="AA141" i="1"/>
  <c r="AB141" i="1"/>
  <c r="AC141" i="1"/>
  <c r="AD141" i="1"/>
  <c r="AE141" i="1"/>
  <c r="AF141" i="1"/>
  <c r="AG141" i="1"/>
  <c r="AH141" i="1"/>
  <c r="AI141" i="1"/>
  <c r="D141" i="1"/>
  <c r="E126" i="1"/>
  <c r="F126" i="1"/>
  <c r="G126" i="1"/>
  <c r="H126" i="1"/>
  <c r="I126" i="1"/>
  <c r="J126" i="1"/>
  <c r="K126" i="1"/>
  <c r="L126" i="1"/>
  <c r="M126" i="1"/>
  <c r="N126" i="1"/>
  <c r="O126" i="1"/>
  <c r="P126" i="1"/>
  <c r="Q126" i="1"/>
  <c r="R126" i="1"/>
  <c r="S126" i="1"/>
  <c r="T126" i="1"/>
  <c r="U126" i="1"/>
  <c r="V126" i="1"/>
  <c r="W126" i="1"/>
  <c r="X126" i="1"/>
  <c r="Y126" i="1"/>
  <c r="Z126" i="1"/>
  <c r="AA126" i="1"/>
  <c r="AB126" i="1"/>
  <c r="AC126" i="1"/>
  <c r="AD126" i="1"/>
  <c r="AE126" i="1"/>
  <c r="AF126" i="1"/>
  <c r="AG126" i="1"/>
  <c r="AH126" i="1"/>
  <c r="AI126" i="1"/>
  <c r="D126" i="1"/>
  <c r="E114" i="1"/>
  <c r="F114" i="1"/>
  <c r="G114" i="1"/>
  <c r="H114" i="1"/>
  <c r="I114" i="1"/>
  <c r="J114" i="1"/>
  <c r="K114" i="1"/>
  <c r="L114" i="1"/>
  <c r="M114" i="1"/>
  <c r="N114" i="1"/>
  <c r="O114" i="1"/>
  <c r="P114" i="1"/>
  <c r="Q114" i="1"/>
  <c r="R114" i="1"/>
  <c r="S114" i="1"/>
  <c r="T114" i="1"/>
  <c r="U114" i="1"/>
  <c r="V114" i="1"/>
  <c r="W114" i="1"/>
  <c r="X114" i="1"/>
  <c r="Y114" i="1"/>
  <c r="Z114" i="1"/>
  <c r="AA114" i="1"/>
  <c r="AB114" i="1"/>
  <c r="AC114" i="1"/>
  <c r="AD114" i="1"/>
  <c r="AE114" i="1"/>
  <c r="AF114" i="1"/>
  <c r="AG114" i="1"/>
  <c r="AH114" i="1"/>
  <c r="AI114" i="1"/>
  <c r="D114" i="1"/>
  <c r="E93" i="1"/>
  <c r="F93" i="1"/>
  <c r="G93" i="1"/>
  <c r="H93" i="1"/>
  <c r="I93" i="1"/>
  <c r="J93" i="1"/>
  <c r="K93" i="1"/>
  <c r="L93" i="1"/>
  <c r="M93" i="1"/>
  <c r="N93" i="1"/>
  <c r="O93" i="1"/>
  <c r="P93" i="1"/>
  <c r="Q93" i="1"/>
  <c r="R93" i="1"/>
  <c r="S93" i="1"/>
  <c r="T93" i="1"/>
  <c r="U93" i="1"/>
  <c r="V93" i="1"/>
  <c r="W93" i="1"/>
  <c r="X93" i="1"/>
  <c r="Y93" i="1"/>
  <c r="Z93" i="1"/>
  <c r="AA93" i="1"/>
  <c r="AB93" i="1"/>
  <c r="AC93" i="1"/>
  <c r="AD93" i="1"/>
  <c r="AE93" i="1"/>
  <c r="AF93" i="1"/>
  <c r="AG93" i="1"/>
  <c r="AH93" i="1"/>
  <c r="AI93" i="1"/>
  <c r="D93" i="1"/>
  <c r="E76" i="1"/>
  <c r="F76" i="1"/>
  <c r="G76" i="1"/>
  <c r="H76" i="1"/>
  <c r="I76" i="1"/>
  <c r="J76" i="1"/>
  <c r="K76" i="1"/>
  <c r="L76" i="1"/>
  <c r="M76" i="1"/>
  <c r="N76" i="1"/>
  <c r="O76" i="1"/>
  <c r="P76" i="1"/>
  <c r="Q76" i="1"/>
  <c r="R76" i="1"/>
  <c r="S76" i="1"/>
  <c r="T76" i="1"/>
  <c r="U76" i="1"/>
  <c r="V76" i="1"/>
  <c r="W76" i="1"/>
  <c r="X76" i="1"/>
  <c r="Y76" i="1"/>
  <c r="Z76" i="1"/>
  <c r="AA76" i="1"/>
  <c r="AB76" i="1"/>
  <c r="AC76" i="1"/>
  <c r="AD76" i="1"/>
  <c r="AE76" i="1"/>
  <c r="AF76" i="1"/>
  <c r="AG76" i="1"/>
  <c r="AH76" i="1"/>
  <c r="AI76" i="1"/>
  <c r="D76" i="1"/>
  <c r="E62" i="1"/>
  <c r="F62" i="1"/>
  <c r="G62" i="1"/>
  <c r="H62" i="1"/>
  <c r="I62" i="1"/>
  <c r="J62" i="1"/>
  <c r="K62" i="1"/>
  <c r="L62" i="1"/>
  <c r="M62" i="1"/>
  <c r="N62" i="1"/>
  <c r="O62" i="1"/>
  <c r="P62" i="1"/>
  <c r="Q62" i="1"/>
  <c r="R62" i="1"/>
  <c r="S62" i="1"/>
  <c r="T62" i="1"/>
  <c r="U62" i="1"/>
  <c r="V62" i="1"/>
  <c r="W62" i="1"/>
  <c r="X62" i="1"/>
  <c r="Y62" i="1"/>
  <c r="Z62" i="1"/>
  <c r="AA62" i="1"/>
  <c r="AB62" i="1"/>
  <c r="AC62" i="1"/>
  <c r="AD62" i="1"/>
  <c r="AE62" i="1"/>
  <c r="AF62" i="1"/>
  <c r="AG62" i="1"/>
  <c r="AH62" i="1"/>
  <c r="AI62" i="1"/>
  <c r="D62" i="1"/>
  <c r="E47" i="1"/>
  <c r="F47" i="1"/>
  <c r="G47" i="1"/>
  <c r="H47" i="1"/>
  <c r="I47" i="1"/>
  <c r="J47" i="1"/>
  <c r="K47" i="1"/>
  <c r="L47" i="1"/>
  <c r="M47" i="1"/>
  <c r="N47" i="1"/>
  <c r="O47" i="1"/>
  <c r="P47" i="1"/>
  <c r="Q47" i="1"/>
  <c r="R47" i="1"/>
  <c r="S47" i="1"/>
  <c r="T47" i="1"/>
  <c r="U47" i="1"/>
  <c r="V47" i="1"/>
  <c r="W47" i="1"/>
  <c r="X47" i="1"/>
  <c r="Y47" i="1"/>
  <c r="Z47" i="1"/>
  <c r="AA47" i="1"/>
  <c r="AB47" i="1"/>
  <c r="AC47" i="1"/>
  <c r="AD47" i="1"/>
  <c r="AE47" i="1"/>
  <c r="AF47" i="1"/>
  <c r="AG47" i="1"/>
  <c r="AH47" i="1"/>
  <c r="AI47" i="1"/>
  <c r="D47" i="1"/>
  <c r="E36" i="1"/>
  <c r="F36" i="1"/>
  <c r="G36" i="1"/>
  <c r="H36" i="1"/>
  <c r="I36" i="1"/>
  <c r="J36" i="1"/>
  <c r="K36" i="1"/>
  <c r="L36" i="1"/>
  <c r="M36" i="1"/>
  <c r="N36" i="1"/>
  <c r="O36" i="1"/>
  <c r="P36" i="1"/>
  <c r="Q36" i="1"/>
  <c r="R36" i="1"/>
  <c r="S36" i="1"/>
  <c r="T36" i="1"/>
  <c r="U36" i="1"/>
  <c r="V36" i="1"/>
  <c r="W36" i="1"/>
  <c r="X36" i="1"/>
  <c r="Y36" i="1"/>
  <c r="Z36" i="1"/>
  <c r="AA36" i="1"/>
  <c r="AB36" i="1"/>
  <c r="AC36" i="1"/>
  <c r="AD36" i="1"/>
  <c r="AE36" i="1"/>
  <c r="AF36" i="1"/>
  <c r="AG36" i="1"/>
  <c r="AH36" i="1"/>
  <c r="AI36" i="1"/>
  <c r="D36" i="1"/>
  <c r="E17" i="1"/>
  <c r="F17" i="1"/>
  <c r="G17" i="1"/>
  <c r="H17" i="1"/>
  <c r="I17" i="1"/>
  <c r="J17" i="1"/>
  <c r="K17" i="1"/>
  <c r="L17" i="1"/>
  <c r="M17" i="1"/>
  <c r="N17" i="1"/>
  <c r="O17" i="1"/>
  <c r="P17" i="1"/>
  <c r="Q17" i="1"/>
  <c r="R17" i="1"/>
  <c r="S17" i="1"/>
  <c r="T17" i="1"/>
  <c r="U17" i="1"/>
  <c r="V17" i="1"/>
  <c r="W17" i="1"/>
  <c r="X17" i="1"/>
  <c r="Y17" i="1"/>
  <c r="Z17" i="1"/>
  <c r="AA17" i="1"/>
  <c r="AB17" i="1"/>
  <c r="AC17" i="1"/>
  <c r="AD17" i="1"/>
  <c r="AE17" i="1"/>
  <c r="AF17" i="1"/>
  <c r="AG17" i="1"/>
  <c r="AH17" i="1"/>
  <c r="AI17" i="1"/>
  <c r="D17" i="1"/>
</calcChain>
</file>

<file path=xl/sharedStrings.xml><?xml version="1.0" encoding="utf-8"?>
<sst xmlns="http://schemas.openxmlformats.org/spreadsheetml/2006/main" count="578" uniqueCount="221">
  <si>
    <t>Sample Name</t>
  </si>
  <si>
    <t>Age</t>
  </si>
  <si>
    <t>Sex</t>
  </si>
  <si>
    <t>ADVENTITIA THICKNESS</t>
  </si>
  <si>
    <t>MEDIA THICKNESS</t>
  </si>
  <si>
    <t>ORIENTATION-θ</t>
  </si>
  <si>
    <t>ORIENTATION-κ</t>
  </si>
  <si>
    <t>ADVENTITIAL CELL COUNT</t>
  </si>
  <si>
    <t>SMC CELL COUNT</t>
  </si>
  <si>
    <t>ENDOTHELIAL CELL COUNT</t>
  </si>
  <si>
    <t>COLLAGEN STRAIGHTNESS</t>
  </si>
  <si>
    <t>PA Loaded Outer Diameter (um)</t>
  </si>
  <si>
    <t>PA loaded wall Thickness (um)</t>
  </si>
  <si>
    <t>PA Axial Stretch (-)</t>
  </si>
  <si>
    <t>PA Circumferential Stretch (-)</t>
  </si>
  <si>
    <t>PA Elastic Stored Energy (kPa)</t>
  </si>
  <si>
    <t>PA Axial Stress (kPa)</t>
  </si>
  <si>
    <t>PA Circumferential Stress (kPa)</t>
  </si>
  <si>
    <t>Distensibility (mmHg-1)</t>
  </si>
  <si>
    <t>PA Circumferential Stiffness (MPa)</t>
  </si>
  <si>
    <t>PA Axial Stiffness (MPa)</t>
  </si>
  <si>
    <t>PWV</t>
  </si>
  <si>
    <t>lung Compliance(Cst) (mL/cmH2O)</t>
  </si>
  <si>
    <t>Ers (cmH2O/mL)</t>
  </si>
  <si>
    <t>Crs (mL/H2O)</t>
  </si>
  <si>
    <t>lung Inspiratory Capacity (IC) (mL)</t>
  </si>
  <si>
    <t>lung Resistance (Rn) (cmH2O.s/mL)</t>
  </si>
  <si>
    <t>lung G (cmH2O/mL)</t>
  </si>
  <si>
    <t>lung H (cmH2O/mL)</t>
  </si>
  <si>
    <t>Hysteresis (mL.chmH2O)</t>
  </si>
  <si>
    <t>RV TAPSE</t>
  </si>
  <si>
    <t>RV free wall thickness</t>
  </si>
  <si>
    <t>RA area</t>
  </si>
  <si>
    <t>RV s'</t>
  </si>
  <si>
    <t>TTE PA diameter</t>
  </si>
  <si>
    <t>RPA_M3mo_1</t>
  </si>
  <si>
    <t>RPA_M3mo_2</t>
  </si>
  <si>
    <t>RPA_M3mo_3</t>
  </si>
  <si>
    <t>RPA_M3mo_4</t>
  </si>
  <si>
    <t>RPA_M3mo_5</t>
  </si>
  <si>
    <t>RPA_M3mo_6</t>
  </si>
  <si>
    <t>RPA_M3mo_7</t>
  </si>
  <si>
    <t>RPA_M3mo_8</t>
  </si>
  <si>
    <t>RPA_M3mo_9</t>
  </si>
  <si>
    <t>RPA_M3mo_10</t>
  </si>
  <si>
    <t>RPA_M3mo_11</t>
  </si>
  <si>
    <t>RPA_M3mo_12</t>
  </si>
  <si>
    <t>RPA_M3mo_13</t>
  </si>
  <si>
    <t>RPA_M3mo_14</t>
  </si>
  <si>
    <t>RPA_M3mo_15</t>
  </si>
  <si>
    <t>Average</t>
  </si>
  <si>
    <t>RPA_F3mo_1</t>
  </si>
  <si>
    <t>RPA_F3mo_2</t>
  </si>
  <si>
    <t>RPA_F3mo_3</t>
  </si>
  <si>
    <t>RPA_F3mo_4</t>
  </si>
  <si>
    <t>RPA_F3mo_5</t>
  </si>
  <si>
    <t>RPA_F3mo_6</t>
  </si>
  <si>
    <t>RPA_F3mo_7</t>
  </si>
  <si>
    <t>RPA_F3mo_8</t>
  </si>
  <si>
    <t>RPA_F3mo_9</t>
  </si>
  <si>
    <t>RPA_F3mo_10</t>
  </si>
  <si>
    <t>RPA_F3mo_11</t>
  </si>
  <si>
    <t>RPA_F3mo_12</t>
  </si>
  <si>
    <t>RPA_F3mo_13</t>
  </si>
  <si>
    <t>RPA_F3mo_14</t>
  </si>
  <si>
    <t>RPA_F3mo_15</t>
  </si>
  <si>
    <t>RPA_F3mo_16</t>
  </si>
  <si>
    <t>RPA_F3mo_17</t>
  </si>
  <si>
    <t>RPA_F3mo_18</t>
  </si>
  <si>
    <t>RPA_M6mo_1</t>
  </si>
  <si>
    <t>RPA_M6mo_2</t>
  </si>
  <si>
    <t>RPA_M6mo_3</t>
  </si>
  <si>
    <t>RPA_M6mo_4</t>
  </si>
  <si>
    <t>RPA_M6mo_5</t>
  </si>
  <si>
    <t>RPA_M6mo_6</t>
  </si>
  <si>
    <t>RPA_M6mo_7</t>
  </si>
  <si>
    <t>RPA_M6mo_8</t>
  </si>
  <si>
    <t>RPA_M6mo_9</t>
  </si>
  <si>
    <t>RPA_M6mo_10</t>
  </si>
  <si>
    <t>RPA_F6mo_1</t>
  </si>
  <si>
    <t>RPA_F6mo_2</t>
  </si>
  <si>
    <t>RPA_F6mo_3</t>
  </si>
  <si>
    <t>RPA_F6mo_4</t>
  </si>
  <si>
    <t>RPA_F6mo_5</t>
  </si>
  <si>
    <t>RPA_F6mo_6</t>
  </si>
  <si>
    <t>RPA_F6mo_7</t>
  </si>
  <si>
    <t>RPA_F6mo_8</t>
  </si>
  <si>
    <t>RPA_F6mo_9</t>
  </si>
  <si>
    <t>RPA_F6mo_10</t>
  </si>
  <si>
    <t>RPA_F6mo_11</t>
  </si>
  <si>
    <t>RPA_F6mo_12</t>
  </si>
  <si>
    <t>RPA_F6mo_13</t>
  </si>
  <si>
    <t>RPA_F6mo_14</t>
  </si>
  <si>
    <t>RPA_M12mo_1</t>
  </si>
  <si>
    <t>RPA_M12mo_2</t>
  </si>
  <si>
    <t>RPA_M12mo_3</t>
  </si>
  <si>
    <t>RPA_M12mo_4</t>
  </si>
  <si>
    <t>RPA_M12mo_5</t>
  </si>
  <si>
    <t>RPA_M12mo_6</t>
  </si>
  <si>
    <t>RPA_M12mo_7</t>
  </si>
  <si>
    <t>RPA_M12mo_8</t>
  </si>
  <si>
    <t>RPA_M12mo_9</t>
  </si>
  <si>
    <t>RPA_M12mo_10</t>
  </si>
  <si>
    <t>RPA_M12mo_11</t>
  </si>
  <si>
    <t>RPA_M12mo_12</t>
  </si>
  <si>
    <t>RPA_M12mo_13</t>
  </si>
  <si>
    <t>RPA_F12mo_1</t>
  </si>
  <si>
    <t>RPA_F12mo_2</t>
  </si>
  <si>
    <t>RPA_F12mo_3</t>
  </si>
  <si>
    <t>RPA_F12mo_4</t>
  </si>
  <si>
    <t>RPA_F12mo_5</t>
  </si>
  <si>
    <t>RPA_F12mo_6</t>
  </si>
  <si>
    <t>RPA_F12mo_7</t>
  </si>
  <si>
    <t>RPA_F12mo_8</t>
  </si>
  <si>
    <t>RPA_F12mo_9</t>
  </si>
  <si>
    <t>RPA_F12mo_10</t>
  </si>
  <si>
    <t>RPA_F12mo_11</t>
  </si>
  <si>
    <t>RPA_F12mo_12</t>
  </si>
  <si>
    <t>RPA_F12mo_13</t>
  </si>
  <si>
    <t>RPA_F12mo_14</t>
  </si>
  <si>
    <t>RPA_F12mo_15</t>
  </si>
  <si>
    <t>RPA_F12mo_16</t>
  </si>
  <si>
    <t>RPA_M18mo_1</t>
  </si>
  <si>
    <t>RPA_M18mo_2</t>
  </si>
  <si>
    <t>RPA_M18mo_3</t>
  </si>
  <si>
    <t>RPA_M18mo_4</t>
  </si>
  <si>
    <t>RPA_M18mo_5</t>
  </si>
  <si>
    <t>RPA_M18mo_6</t>
  </si>
  <si>
    <t>RPA_M18mo_7</t>
  </si>
  <si>
    <t>RPA_M18mo_8</t>
  </si>
  <si>
    <t>RPA_M18mo_9</t>
  </si>
  <si>
    <t>RPA_M18mo_10</t>
  </si>
  <si>
    <t>RPA_M18mo_11</t>
  </si>
  <si>
    <t>RPA_M18mo_12</t>
  </si>
  <si>
    <t>RPA_M18mo_13</t>
  </si>
  <si>
    <t>RPA_M18mo_14</t>
  </si>
  <si>
    <t>RPA_M18mo_15</t>
  </si>
  <si>
    <t>RPA_M18mo_16</t>
  </si>
  <si>
    <t>RPA_M18mo_17</t>
  </si>
  <si>
    <t>RPA_M18mo_18</t>
  </si>
  <si>
    <t>RPA_M18mo_19</t>
  </si>
  <si>
    <t>RPA_M18mo_20</t>
  </si>
  <si>
    <t>RPA_F18mo_1</t>
  </si>
  <si>
    <t>RPA_F18mo_2</t>
  </si>
  <si>
    <t>RPA_F18mo_3</t>
  </si>
  <si>
    <t>RPA_F18mo_4</t>
  </si>
  <si>
    <t>RPA_F18mo_5</t>
  </si>
  <si>
    <t>RPA_F18mo_6</t>
  </si>
  <si>
    <t>RPA_F18mo_7</t>
  </si>
  <si>
    <t>RPA_F18mo_8</t>
  </si>
  <si>
    <t>RPA_F18mo_9</t>
  </si>
  <si>
    <t>RPA_F18mo_10</t>
  </si>
  <si>
    <t>RPA_F18mo_11</t>
  </si>
  <si>
    <t>RPA_M24mo_1</t>
  </si>
  <si>
    <t>RPA_M24mo_2</t>
  </si>
  <si>
    <t>RPA_M24mo_3</t>
  </si>
  <si>
    <t>RPA_M24mo_4</t>
  </si>
  <si>
    <t>RPA_M24mo_5</t>
  </si>
  <si>
    <t>RPA_M24mo_6</t>
  </si>
  <si>
    <t>RPA_M24mo_7</t>
  </si>
  <si>
    <t>RPA_M24mo_8</t>
  </si>
  <si>
    <t>RPA_M24mo_9</t>
  </si>
  <si>
    <t>RPA_M24mo_10</t>
  </si>
  <si>
    <t>RPA_M24mo_11</t>
  </si>
  <si>
    <t>RPA_M24mo_12</t>
  </si>
  <si>
    <t>RPA_M24mo_13</t>
  </si>
  <si>
    <t>RPA_M24mo_14</t>
  </si>
  <si>
    <t>RPA_F24mo_1</t>
  </si>
  <si>
    <t>RPA_F24mo_2</t>
  </si>
  <si>
    <t>RPA_F24mo_3</t>
  </si>
  <si>
    <t>RPA_F24mo_4</t>
  </si>
  <si>
    <t>RPA_F24mo_5</t>
  </si>
  <si>
    <t>RPA_F24mo_6</t>
  </si>
  <si>
    <t>RPA_F24mo_7</t>
  </si>
  <si>
    <t>RPA_F24mo_8</t>
  </si>
  <si>
    <t>RPA_F24mo_9</t>
  </si>
  <si>
    <t>RPA_F24mo_10</t>
  </si>
  <si>
    <t>RPA_F24mo_11</t>
  </si>
  <si>
    <t>RPA_F24mo_12</t>
  </si>
  <si>
    <t>RPA_F24mo_13</t>
  </si>
  <si>
    <t>RPA_F24mo_14</t>
  </si>
  <si>
    <t>RPA_F24mo_15</t>
  </si>
  <si>
    <t>RPA_M27mo_1</t>
  </si>
  <si>
    <t>RPA_M27mo_2</t>
  </si>
  <si>
    <t>RPA_M27mo_3</t>
  </si>
  <si>
    <t>RPA_M27mo_4</t>
  </si>
  <si>
    <t>RPA_M27mo_5</t>
  </si>
  <si>
    <t>RPA_M27mo_6</t>
  </si>
  <si>
    <t>RPA_M27mo_7</t>
  </si>
  <si>
    <t>RPA_M27mo_8</t>
  </si>
  <si>
    <t>RPA_M27mo_9</t>
  </si>
  <si>
    <t>RPA_M27mo_10</t>
  </si>
  <si>
    <t>RPA_M27mo_11</t>
  </si>
  <si>
    <t>RPA_F27mo_1</t>
  </si>
  <si>
    <t>RPA_F27mo_2</t>
  </si>
  <si>
    <t>RPA_F27mo_3</t>
  </si>
  <si>
    <t>RPA_F27mo_4</t>
  </si>
  <si>
    <t>RPA_F27mo_5</t>
  </si>
  <si>
    <t>RPA_F27mo_6</t>
  </si>
  <si>
    <t>RPA_F27mo_7</t>
  </si>
  <si>
    <t>RPA_F27mo_8</t>
  </si>
  <si>
    <t>RPA_F27mo_9</t>
  </si>
  <si>
    <t>RPA_F27mo_10</t>
  </si>
  <si>
    <t>RPA_F27mo_11</t>
  </si>
  <si>
    <t>RPA_F27mo_12</t>
  </si>
  <si>
    <t>RPA_F27mo_13</t>
  </si>
  <si>
    <t>RPA_F27mo_14</t>
  </si>
  <si>
    <t>RPA_F27mo_15</t>
  </si>
  <si>
    <t>RPA_F27mo_16</t>
  </si>
  <si>
    <t>RPA_F27mo_17</t>
  </si>
  <si>
    <t>RPA_F27mo_18</t>
  </si>
  <si>
    <t>RPA_F27mo_19</t>
  </si>
  <si>
    <t>RPA_F27mo_20</t>
  </si>
  <si>
    <t>3mo</t>
  </si>
  <si>
    <t>6mo</t>
  </si>
  <si>
    <t>12mo</t>
  </si>
  <si>
    <t>18mo</t>
  </si>
  <si>
    <t>24mo</t>
  </si>
  <si>
    <t>27mo</t>
  </si>
  <si>
    <t>Male</t>
  </si>
  <si>
    <t>Female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</si>
</sst>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38">
    <fill>
      <patternFill patternType="none"/>
    </fill>
    <fill>
      <patternFill patternType="gray125"/>
    </fill>
    <fill>
      <patternFill patternType="solid">
        <fgColor theme="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8" tint="-0.249977111117893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rgb="FF009900"/>
        <bgColor indexed="64"/>
      </patternFill>
    </fill>
    <fill>
      <patternFill patternType="solid">
        <fgColor theme="2" tint="-0.499984740745262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B5B2F8"/>
        <bgColor indexed="64"/>
      </patternFill>
    </fill>
    <fill>
      <patternFill patternType="solid">
        <fgColor rgb="FFF9B1A9"/>
        <bgColor indexed="64"/>
      </patternFill>
    </fill>
    <fill>
      <patternFill patternType="solid">
        <fgColor rgb="FF008080"/>
        <bgColor indexed="64"/>
      </patternFill>
    </fill>
    <fill>
      <patternFill patternType="solid">
        <fgColor rgb="FF9933FF"/>
        <bgColor indexed="64"/>
      </patternFill>
    </fill>
    <fill>
      <patternFill patternType="solid">
        <fgColor rgb="FF3399FF"/>
        <bgColor indexed="64"/>
      </patternFill>
    </fill>
    <fill>
      <patternFill patternType="solid">
        <fgColor rgb="FFFF3399"/>
        <bgColor indexed="64"/>
      </patternFill>
    </fill>
    <fill>
      <patternFill patternType="solid">
        <fgColor rgb="FFFF9900"/>
        <bgColor indexed="64"/>
      </patternFill>
    </fill>
    <fill>
      <patternFill patternType="solid">
        <fgColor rgb="FF3333CC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99CC00"/>
        <bgColor indexed="64"/>
      </patternFill>
    </fill>
    <fill>
      <patternFill patternType="solid">
        <fgColor rgb="FF808000"/>
        <bgColor indexed="64"/>
      </patternFill>
    </fill>
    <fill>
      <patternFill patternType="solid">
        <fgColor rgb="FF9966FF"/>
        <bgColor indexed="64"/>
      </patternFill>
    </fill>
    <fill>
      <patternFill patternType="solid">
        <fgColor rgb="FFFFFF99"/>
        <bgColor indexed="64"/>
      </patternFill>
    </fill>
    <fill>
      <patternFill patternType="solid">
        <fgColor rgb="FF33CCCC"/>
        <bgColor indexed="64"/>
      </patternFill>
    </fill>
    <fill>
      <patternFill patternType="solid">
        <fgColor rgb="FFCC9900"/>
        <bgColor indexed="64"/>
      </patternFill>
    </fill>
    <fill>
      <patternFill patternType="solid">
        <fgColor rgb="FF3366FF"/>
        <bgColor indexed="64"/>
      </patternFill>
    </fill>
    <fill>
      <patternFill patternType="solid">
        <fgColor rgb="FFFF6600"/>
        <bgColor indexed="64"/>
      </patternFill>
    </fill>
    <fill>
      <patternFill patternType="solid">
        <fgColor rgb="FF9999FF"/>
        <bgColor indexed="64"/>
      </patternFill>
    </fill>
    <fill>
      <patternFill patternType="solid">
        <fgColor rgb="FF993300"/>
        <bgColor indexed="64"/>
      </patternFill>
    </fill>
    <fill>
      <patternFill patternType="solid">
        <fgColor rgb="FFFF33CC"/>
        <bgColor indexed="64"/>
      </patternFill>
    </fill>
    <fill>
      <patternFill patternType="solid">
        <fgColor rgb="FF008000"/>
        <bgColor indexed="64"/>
      </patternFill>
    </fill>
    <fill>
      <patternFill patternType="solid">
        <fgColor rgb="FFFF66FF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2" borderId="0" xfId="0" applyFill="1"/>
    <xf numFmtId="0" fontId="0" fillId="3" borderId="0" xfId="0" applyFill="1"/>
    <xf numFmtId="0" fontId="0" fillId="4" borderId="0" xfId="0" applyFill="1"/>
    <xf numFmtId="0" fontId="0" fillId="5" borderId="0" xfId="0" applyFill="1"/>
    <xf numFmtId="0" fontId="0" fillId="6" borderId="0" xfId="0" applyFill="1"/>
    <xf numFmtId="0" fontId="0" fillId="7" borderId="0" xfId="0" applyFill="1"/>
    <xf numFmtId="0" fontId="0" fillId="8" borderId="0" xfId="0" applyFill="1"/>
    <xf numFmtId="0" fontId="0" fillId="9" borderId="0" xfId="0" applyFill="1"/>
    <xf numFmtId="0" fontId="0" fillId="10" borderId="0" xfId="0" applyFill="1"/>
    <xf numFmtId="0" fontId="0" fillId="11" borderId="0" xfId="0" applyFill="1"/>
    <xf numFmtId="0" fontId="0" fillId="12" borderId="0" xfId="0" applyFill="1"/>
    <xf numFmtId="0" fontId="0" fillId="13" borderId="0" xfId="0" applyFill="1"/>
    <xf numFmtId="0" fontId="0" fillId="14" borderId="0" xfId="0" applyFill="1"/>
    <xf numFmtId="0" fontId="0" fillId="15" borderId="0" xfId="0" applyFill="1"/>
    <xf numFmtId="0" fontId="0" fillId="16" borderId="0" xfId="0" applyFill="1"/>
    <xf numFmtId="0" fontId="0" fillId="17" borderId="0" xfId="0" applyFill="1"/>
    <xf numFmtId="0" fontId="0" fillId="18" borderId="0" xfId="0" applyFill="1"/>
    <xf numFmtId="0" fontId="0" fillId="19" borderId="0" xfId="0" applyFill="1"/>
    <xf numFmtId="0" fontId="0" fillId="20" borderId="0" xfId="0" applyFill="1"/>
    <xf numFmtId="0" fontId="0" fillId="21" borderId="0" xfId="0" applyFill="1"/>
    <xf numFmtId="0" fontId="0" fillId="22" borderId="0" xfId="0" applyFill="1"/>
    <xf numFmtId="0" fontId="0" fillId="23" borderId="0" xfId="0" applyFill="1"/>
    <xf numFmtId="0" fontId="0" fillId="24" borderId="0" xfId="0" applyFill="1"/>
    <xf numFmtId="0" fontId="0" fillId="25" borderId="0" xfId="0" applyFill="1"/>
    <xf numFmtId="0" fontId="0" fillId="26" borderId="0" xfId="0" applyFill="1"/>
    <xf numFmtId="0" fontId="0" fillId="27" borderId="0" xfId="0" applyFill="1"/>
    <xf numFmtId="0" fontId="0" fillId="28" borderId="0" xfId="0" applyFill="1"/>
    <xf numFmtId="0" fontId="0" fillId="29" borderId="0" xfId="0" applyFill="1"/>
    <xf numFmtId="0" fontId="0" fillId="30" borderId="0" xfId="0" applyFill="1"/>
    <xf numFmtId="0" fontId="0" fillId="31" borderId="0" xfId="0" applyFill="1"/>
    <xf numFmtId="0" fontId="0" fillId="32" borderId="0" xfId="0" applyFill="1"/>
    <xf numFmtId="0" fontId="0" fillId="33" borderId="0" xfId="0" applyFill="1"/>
    <xf numFmtId="0" fontId="0" fillId="34" borderId="0" xfId="0" applyFill="1"/>
    <xf numFmtId="0" fontId="0" fillId="35" borderId="0" xfId="0" applyFill="1"/>
    <xf numFmtId="0" fontId="0" fillId="36" borderId="0" xfId="0" applyFill="1"/>
    <xf numFmtId="0" fontId="0" fillId="37" borderId="0" xfId="0" applyFill="1"/>
  </cellXfs>
  <cellStyles count="1">
    <cellStyle name="Normal" xfId="0" builtinId="0"/>
  </cellStyles>
  <dxfs count="0"/>
  <tableStyles count="0" defaultTableStyle="TableStyleMedium9" defaultPivotStyle="PivotStyleLight16"/>
  <colors>
    <mruColors>
      <color rgb="FFFF66FF"/>
      <color rgb="FF008000"/>
      <color rgb="FFFF33CC"/>
      <color rgb="FF993300"/>
      <color rgb="FF9999FF"/>
      <color rgb="FF00CC00"/>
      <color rgb="FF009900"/>
      <color rgb="FFFF6600"/>
      <color rgb="FF3366FF"/>
      <color rgb="FFCC99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I190"/>
  <sheetViews>
    <sheetView tabSelected="1" workbookViewId="0">
      <selection activeCell="G16" sqref="G16"/>
    </sheetView>
  </sheetViews>
  <sheetFormatPr defaultRowHeight="15" x14ac:dyDescent="0.25"/>
  <cols>
    <col min="1" max="1" width="25.42578125" customWidth="1"/>
    <col min="4" max="4" width="24.42578125" customWidth="1"/>
    <col min="5" max="6" width="17.7109375" customWidth="1"/>
    <col min="7" max="7" width="17.42578125" customWidth="1"/>
    <col min="8" max="8" width="24.7109375" customWidth="1"/>
    <col min="9" max="9" width="18.140625" customWidth="1"/>
    <col min="10" max="10" width="26" customWidth="1"/>
    <col min="11" max="11" width="26.7109375" customWidth="1"/>
    <col min="12" max="12" width="33.140625" customWidth="1"/>
    <col min="13" max="13" width="30.5703125" customWidth="1"/>
    <col min="14" max="14" width="23.5703125" customWidth="1"/>
    <col min="15" max="15" width="29.5703125" customWidth="1"/>
    <col min="16" max="16" width="31.140625" customWidth="1"/>
    <col min="17" max="17" width="22" customWidth="1"/>
    <col min="18" max="18" width="29.28515625" customWidth="1"/>
    <col min="19" max="19" width="24.85546875" customWidth="1"/>
    <col min="20" max="20" width="32.5703125" customWidth="1"/>
    <col min="21" max="21" width="22.28515625" customWidth="1"/>
    <col min="23" max="23" width="31.7109375" customWidth="1"/>
    <col min="24" max="24" width="17.140625" customWidth="1"/>
    <col min="25" max="25" width="15.85546875" customWidth="1"/>
    <col min="26" max="26" width="31.140625" customWidth="1"/>
    <col min="27" max="27" width="33" customWidth="1"/>
    <col min="28" max="28" width="23.42578125" customWidth="1"/>
    <col min="29" max="29" width="20.85546875" customWidth="1"/>
    <col min="30" max="30" width="23.85546875" customWidth="1"/>
    <col min="31" max="31" width="14.28515625" customWidth="1"/>
    <col min="32" max="32" width="23.140625" customWidth="1"/>
    <col min="34" max="34" width="9.140625" customWidth="1"/>
    <col min="35" max="35" width="14.7109375" customWidth="1"/>
  </cols>
  <sheetData>
    <row r="1" spans="1:35" x14ac:dyDescent="0.25">
      <c r="A1" s="36" t="s">
        <v>0</v>
      </c>
      <c r="B1" s="1" t="s">
        <v>1</v>
      </c>
      <c r="C1" s="2" t="s">
        <v>2</v>
      </c>
      <c r="D1" s="3" t="s">
        <v>3</v>
      </c>
      <c r="E1" s="4" t="s">
        <v>4</v>
      </c>
      <c r="F1" s="5" t="s">
        <v>5</v>
      </c>
      <c r="G1" s="6" t="s">
        <v>6</v>
      </c>
      <c r="H1" s="7" t="s">
        <v>7</v>
      </c>
      <c r="I1" s="8" t="s">
        <v>8</v>
      </c>
      <c r="J1" s="9" t="s">
        <v>9</v>
      </c>
      <c r="K1" s="10" t="s">
        <v>10</v>
      </c>
      <c r="L1" s="11" t="s">
        <v>11</v>
      </c>
      <c r="M1" s="12" t="s">
        <v>12</v>
      </c>
      <c r="N1" s="13" t="s">
        <v>13</v>
      </c>
      <c r="O1" s="14" t="s">
        <v>14</v>
      </c>
      <c r="P1" s="15" t="s">
        <v>15</v>
      </c>
      <c r="Q1" s="16" t="s">
        <v>16</v>
      </c>
      <c r="R1" s="17" t="s">
        <v>17</v>
      </c>
      <c r="S1" s="18" t="s">
        <v>18</v>
      </c>
      <c r="T1" s="19" t="s">
        <v>19</v>
      </c>
      <c r="U1" s="20" t="s">
        <v>20</v>
      </c>
      <c r="V1" s="21" t="s">
        <v>21</v>
      </c>
      <c r="W1" s="22" t="s">
        <v>22</v>
      </c>
      <c r="X1" s="23" t="s">
        <v>23</v>
      </c>
      <c r="Y1" s="24" t="s">
        <v>24</v>
      </c>
      <c r="Z1" s="25" t="s">
        <v>25</v>
      </c>
      <c r="AA1" s="26" t="s">
        <v>26</v>
      </c>
      <c r="AB1" s="27" t="s">
        <v>27</v>
      </c>
      <c r="AC1" s="28" t="s">
        <v>28</v>
      </c>
      <c r="AD1" s="29" t="s">
        <v>29</v>
      </c>
      <c r="AE1" s="6" t="s">
        <v>30</v>
      </c>
      <c r="AF1" s="30" t="s">
        <v>31</v>
      </c>
      <c r="AG1" s="31" t="s">
        <v>32</v>
      </c>
      <c r="AH1" s="32" t="s">
        <v>33</v>
      </c>
      <c r="AI1" s="33" t="s">
        <v>34</v>
      </c>
    </row>
    <row r="2" spans="1:35" x14ac:dyDescent="0.25">
      <c r="A2" s="35" t="s">
        <v>35</v>
      </c>
      <c r="B2" t="s">
        <v>213</v>
      </c>
      <c r="C2" t="s">
        <v>219</v>
      </c>
      <c r="D2">
        <v>29</v>
      </c>
      <c r="E2">
        <v>46</v>
      </c>
      <c r="F2">
        <v>3.81</v>
      </c>
      <c r="G2">
        <v>11.07</v>
      </c>
      <c r="H2">
        <v>7</v>
      </c>
      <c r="I2">
        <v>23</v>
      </c>
      <c r="J2">
        <v>1</v>
      </c>
      <c r="K2">
        <v>0.85372000000000003</v>
      </c>
      <c r="L2">
        <v>921.287632449689</v>
      </c>
      <c r="M2">
        <v>35.121163245728503</v>
      </c>
      <c r="N2">
        <v>1.5776936936936901</v>
      </c>
      <c r="O2">
        <v>1.36856706163458</v>
      </c>
      <c r="P2">
        <v>11.110019397990801</v>
      </c>
      <c r="Q2">
        <v>50.952742457032301</v>
      </c>
      <c r="R2">
        <v>24.229352403263199</v>
      </c>
      <c r="S2">
        <v>1.0920106001940081E-2</v>
      </c>
      <c r="T2">
        <v>0.32153921701384502</v>
      </c>
      <c r="U2">
        <v>0.502027417675183</v>
      </c>
    </row>
    <row r="3" spans="1:35" x14ac:dyDescent="0.25">
      <c r="A3" s="35" t="s">
        <v>36</v>
      </c>
      <c r="B3" t="s">
        <v>213</v>
      </c>
      <c r="C3" t="s">
        <v>219</v>
      </c>
      <c r="D3">
        <v>12</v>
      </c>
      <c r="E3">
        <v>21</v>
      </c>
      <c r="F3">
        <v>0.97</v>
      </c>
      <c r="G3">
        <v>9.0500000000000007</v>
      </c>
      <c r="H3">
        <v>12</v>
      </c>
      <c r="I3">
        <v>35</v>
      </c>
      <c r="J3">
        <v>0</v>
      </c>
      <c r="K3">
        <v>0.84255999999999998</v>
      </c>
      <c r="L3">
        <v>968.22952605174498</v>
      </c>
      <c r="M3">
        <v>34.843872623610402</v>
      </c>
      <c r="N3">
        <v>1.4373263263263301</v>
      </c>
      <c r="O3">
        <v>1.3957106038075899</v>
      </c>
      <c r="P3">
        <v>9.8768659425673899</v>
      </c>
      <c r="Q3">
        <v>46.6251409884037</v>
      </c>
      <c r="R3">
        <v>25.785139860352199</v>
      </c>
      <c r="S3">
        <v>1.3640567863980079E-2</v>
      </c>
      <c r="T3">
        <v>0.384406372063746</v>
      </c>
      <c r="U3">
        <v>0.54255944301366799</v>
      </c>
    </row>
    <row r="4" spans="1:35" x14ac:dyDescent="0.25">
      <c r="A4" s="35" t="s">
        <v>37</v>
      </c>
      <c r="B4" t="s">
        <v>213</v>
      </c>
      <c r="C4" t="s">
        <v>219</v>
      </c>
      <c r="D4">
        <v>13</v>
      </c>
      <c r="E4">
        <v>21</v>
      </c>
      <c r="F4">
        <v>0.62</v>
      </c>
      <c r="G4">
        <v>11.02</v>
      </c>
      <c r="H4">
        <v>4</v>
      </c>
      <c r="I4">
        <v>29</v>
      </c>
      <c r="J4">
        <v>2</v>
      </c>
      <c r="K4">
        <v>0.82355999999999996</v>
      </c>
      <c r="L4">
        <v>973.07904731683004</v>
      </c>
      <c r="M4">
        <v>27.5227467578387</v>
      </c>
      <c r="N4">
        <v>1.39565965965966</v>
      </c>
      <c r="O4">
        <v>1.51773956234399</v>
      </c>
      <c r="P4">
        <v>11.942865793063</v>
      </c>
      <c r="Q4">
        <v>53.335690675698203</v>
      </c>
      <c r="R4">
        <v>33.352207118369499</v>
      </c>
      <c r="S4">
        <v>1.238792279487708E-2</v>
      </c>
      <c r="T4">
        <v>0.46675821182029598</v>
      </c>
      <c r="U4">
        <v>0.55193467321692302</v>
      </c>
    </row>
    <row r="5" spans="1:35" x14ac:dyDescent="0.25">
      <c r="A5" s="35" t="s">
        <v>38</v>
      </c>
      <c r="B5" t="s">
        <v>213</v>
      </c>
      <c r="C5" t="s">
        <v>219</v>
      </c>
      <c r="D5">
        <v>22</v>
      </c>
      <c r="E5">
        <v>39</v>
      </c>
      <c r="F5">
        <v>2.2599999999999998</v>
      </c>
      <c r="G5">
        <v>8.6999999999999993</v>
      </c>
      <c r="H5">
        <v>9</v>
      </c>
      <c r="I5">
        <v>42</v>
      </c>
      <c r="J5">
        <v>0</v>
      </c>
      <c r="K5">
        <v>0.86314000000000002</v>
      </c>
      <c r="L5">
        <v>980.68169707991296</v>
      </c>
      <c r="M5">
        <v>30.7966179244474</v>
      </c>
      <c r="N5">
        <v>1.71713913913914</v>
      </c>
      <c r="O5">
        <v>1.2547502390330301</v>
      </c>
      <c r="P5">
        <v>15.2780423814106</v>
      </c>
      <c r="Q5">
        <v>58.794150709066201</v>
      </c>
      <c r="R5">
        <v>29.8409204817073</v>
      </c>
      <c r="S5">
        <v>8.4814414114844777E-3</v>
      </c>
      <c r="T5">
        <v>0.42093227228621499</v>
      </c>
      <c r="U5">
        <v>0.48344024690056703</v>
      </c>
    </row>
    <row r="6" spans="1:35" x14ac:dyDescent="0.25">
      <c r="A6" s="35" t="s">
        <v>39</v>
      </c>
      <c r="B6" t="s">
        <v>213</v>
      </c>
      <c r="C6" t="s">
        <v>219</v>
      </c>
      <c r="D6">
        <v>7</v>
      </c>
      <c r="E6">
        <v>39</v>
      </c>
      <c r="F6">
        <v>12.4</v>
      </c>
      <c r="G6">
        <v>7.23</v>
      </c>
      <c r="H6">
        <v>15</v>
      </c>
      <c r="I6">
        <v>21</v>
      </c>
      <c r="J6">
        <v>1</v>
      </c>
      <c r="K6">
        <v>0.95345999999999997</v>
      </c>
      <c r="L6">
        <v>971.16198762067404</v>
      </c>
      <c r="M6">
        <v>31.458768472940299</v>
      </c>
      <c r="N6">
        <v>1.41116516516516</v>
      </c>
      <c r="O6">
        <v>1.3686052030235001</v>
      </c>
      <c r="P6">
        <v>9.7228375727587899</v>
      </c>
      <c r="Q6">
        <v>43.674899134350703</v>
      </c>
      <c r="R6">
        <v>28.868150006659999</v>
      </c>
      <c r="S6">
        <v>1.567611794054552E-2</v>
      </c>
      <c r="T6">
        <v>0.37511123793328499</v>
      </c>
      <c r="U6">
        <v>0.41911681514117799</v>
      </c>
    </row>
    <row r="7" spans="1:35" x14ac:dyDescent="0.25">
      <c r="A7" s="35" t="s">
        <v>40</v>
      </c>
      <c r="B7" t="s">
        <v>213</v>
      </c>
      <c r="C7" t="s">
        <v>219</v>
      </c>
      <c r="D7">
        <v>14</v>
      </c>
      <c r="E7">
        <v>40</v>
      </c>
      <c r="F7">
        <v>2.87</v>
      </c>
      <c r="G7">
        <v>10.5</v>
      </c>
      <c r="H7">
        <v>6</v>
      </c>
      <c r="I7">
        <v>31</v>
      </c>
      <c r="J7">
        <v>0</v>
      </c>
      <c r="K7">
        <v>0.94225000000000003</v>
      </c>
      <c r="W7">
        <v>5.8951159000000003E-2</v>
      </c>
      <c r="X7">
        <v>27.088871556697601</v>
      </c>
      <c r="Y7">
        <v>3.6919820776514803E-2</v>
      </c>
      <c r="Z7">
        <v>0.70748040149805902</v>
      </c>
      <c r="AA7">
        <v>1.22948048397964</v>
      </c>
      <c r="AB7">
        <v>5.4617596290000003</v>
      </c>
      <c r="AC7">
        <v>24.887245790000001</v>
      </c>
      <c r="AD7">
        <v>1.7206153070000001</v>
      </c>
    </row>
    <row r="8" spans="1:35" x14ac:dyDescent="0.25">
      <c r="A8" s="35" t="s">
        <v>41</v>
      </c>
      <c r="B8" t="s">
        <v>213</v>
      </c>
      <c r="C8" t="s">
        <v>219</v>
      </c>
      <c r="D8">
        <v>10</v>
      </c>
      <c r="E8">
        <v>21</v>
      </c>
      <c r="F8">
        <v>4.67</v>
      </c>
      <c r="G8">
        <v>4.54</v>
      </c>
      <c r="H8">
        <v>11</v>
      </c>
      <c r="I8">
        <v>26</v>
      </c>
      <c r="J8">
        <v>1</v>
      </c>
      <c r="K8">
        <v>0.62656000000000001</v>
      </c>
      <c r="W8">
        <v>5.4486705000000003E-2</v>
      </c>
      <c r="X8">
        <v>30.178374587140901</v>
      </c>
      <c r="Y8">
        <v>3.3152974538986801E-2</v>
      </c>
      <c r="Z8">
        <v>0.65800764428147995</v>
      </c>
      <c r="AA8">
        <v>1.2445935072207399</v>
      </c>
      <c r="AB8">
        <v>5.3469403896168499</v>
      </c>
      <c r="AC8">
        <v>28.4567138627466</v>
      </c>
      <c r="AD8">
        <v>1.429923720039</v>
      </c>
    </row>
    <row r="9" spans="1:35" x14ac:dyDescent="0.25">
      <c r="A9" s="35" t="s">
        <v>42</v>
      </c>
      <c r="B9" t="s">
        <v>213</v>
      </c>
      <c r="C9" t="s">
        <v>219</v>
      </c>
      <c r="D9">
        <v>8</v>
      </c>
      <c r="E9">
        <v>16</v>
      </c>
      <c r="F9">
        <v>2.64</v>
      </c>
      <c r="G9">
        <v>5.54</v>
      </c>
      <c r="H9">
        <v>8</v>
      </c>
      <c r="I9">
        <v>38</v>
      </c>
      <c r="J9">
        <v>0</v>
      </c>
      <c r="K9">
        <v>0.86372000000000004</v>
      </c>
      <c r="W9">
        <v>3.6071930000000002E-2</v>
      </c>
      <c r="X9">
        <v>47.0397051842832</v>
      </c>
      <c r="Y9">
        <v>2.1265841304572299E-2</v>
      </c>
      <c r="Z9">
        <v>0.49353094103471701</v>
      </c>
      <c r="AA9">
        <v>1.1669895277799101</v>
      </c>
      <c r="AB9">
        <v>9.5424927725094193</v>
      </c>
      <c r="AC9">
        <v>44.0192491513791</v>
      </c>
      <c r="AD9">
        <v>1.3557078540046299</v>
      </c>
    </row>
    <row r="10" spans="1:35" x14ac:dyDescent="0.25">
      <c r="A10" s="35" t="s">
        <v>43</v>
      </c>
      <c r="B10" t="s">
        <v>213</v>
      </c>
      <c r="C10" t="s">
        <v>219</v>
      </c>
      <c r="W10">
        <v>7.6394953000000002E-2</v>
      </c>
      <c r="X10">
        <v>22.4524103069784</v>
      </c>
      <c r="Y10">
        <v>4.4558598398696102E-2</v>
      </c>
      <c r="Z10">
        <v>0.86591637534835197</v>
      </c>
      <c r="AA10">
        <v>1.42090849721151</v>
      </c>
      <c r="AB10">
        <v>4.5506336653160098</v>
      </c>
      <c r="AC10">
        <v>20.864717054191399</v>
      </c>
      <c r="AD10">
        <v>2.0507754598828001</v>
      </c>
    </row>
    <row r="11" spans="1:35" x14ac:dyDescent="0.25">
      <c r="A11" s="35" t="s">
        <v>44</v>
      </c>
      <c r="B11" t="s">
        <v>213</v>
      </c>
      <c r="C11" t="s">
        <v>219</v>
      </c>
      <c r="W11">
        <v>7.7286191829084402E-2</v>
      </c>
      <c r="X11">
        <v>21.458093150823</v>
      </c>
      <c r="Y11">
        <v>4.6630005603107497E-2</v>
      </c>
      <c r="Z11">
        <v>0.85055478757293601</v>
      </c>
      <c r="AA11">
        <v>1.0698205363784199</v>
      </c>
      <c r="AB11">
        <v>3.8569801630940899</v>
      </c>
      <c r="AC11">
        <v>20.621094579742199</v>
      </c>
      <c r="AD11">
        <v>1.84440034892833</v>
      </c>
    </row>
    <row r="12" spans="1:35" x14ac:dyDescent="0.25">
      <c r="A12" s="35" t="s">
        <v>45</v>
      </c>
      <c r="B12" t="s">
        <v>213</v>
      </c>
      <c r="C12" t="s">
        <v>219</v>
      </c>
      <c r="AE12">
        <v>0.83333366666666675</v>
      </c>
      <c r="AF12">
        <v>0.29545466666666659</v>
      </c>
      <c r="AG12">
        <v>5.158757333333333</v>
      </c>
      <c r="AH12">
        <v>28.934539000000001</v>
      </c>
      <c r="AI12">
        <v>1.4775746666666669</v>
      </c>
    </row>
    <row r="13" spans="1:35" x14ac:dyDescent="0.25">
      <c r="A13" s="35" t="s">
        <v>46</v>
      </c>
      <c r="B13" t="s">
        <v>213</v>
      </c>
      <c r="C13" t="s">
        <v>219</v>
      </c>
      <c r="AE13">
        <v>0.8181816666666667</v>
      </c>
      <c r="AF13">
        <v>0.24452433333333329</v>
      </c>
      <c r="AG13">
        <v>6.6117503333333332</v>
      </c>
      <c r="AH13">
        <v>37.24246733333333</v>
      </c>
      <c r="AI13">
        <v>1.4209989999999999</v>
      </c>
    </row>
    <row r="14" spans="1:35" x14ac:dyDescent="0.25">
      <c r="A14" s="35" t="s">
        <v>47</v>
      </c>
      <c r="B14" t="s">
        <v>213</v>
      </c>
      <c r="C14" t="s">
        <v>219</v>
      </c>
      <c r="AE14">
        <v>1.1015626666666669</v>
      </c>
      <c r="AF14">
        <v>0.242424</v>
      </c>
      <c r="AG14">
        <v>6.8130060000000006</v>
      </c>
      <c r="AH14">
        <v>29.123690333333329</v>
      </c>
      <c r="AI14">
        <v>1.475710333333333</v>
      </c>
    </row>
    <row r="15" spans="1:35" x14ac:dyDescent="0.25">
      <c r="A15" s="35" t="s">
        <v>48</v>
      </c>
      <c r="B15" t="s">
        <v>213</v>
      </c>
      <c r="C15" t="s">
        <v>219</v>
      </c>
      <c r="AE15">
        <v>1.0340910000000001</v>
      </c>
      <c r="AG15">
        <v>3.953135333333333</v>
      </c>
      <c r="AH15">
        <v>30.366930666666661</v>
      </c>
      <c r="AI15">
        <v>1.4590706666666671</v>
      </c>
    </row>
    <row r="16" spans="1:35" x14ac:dyDescent="0.25">
      <c r="A16" s="35" t="s">
        <v>49</v>
      </c>
      <c r="B16" t="s">
        <v>213</v>
      </c>
      <c r="C16" t="s">
        <v>219</v>
      </c>
      <c r="AE16">
        <v>1.0227273333333331</v>
      </c>
      <c r="AF16">
        <v>0.31847700000000012</v>
      </c>
      <c r="AG16">
        <v>3.8892226666666661</v>
      </c>
    </row>
    <row r="17" spans="1:35" x14ac:dyDescent="0.25">
      <c r="A17" s="21" t="s">
        <v>50</v>
      </c>
      <c r="D17">
        <f>AVERAGE(D2:D16)</f>
        <v>14.375</v>
      </c>
      <c r="E17">
        <f t="shared" ref="E17:AI17" si="0">AVERAGE(E2:E16)</f>
        <v>30.375</v>
      </c>
      <c r="F17">
        <f t="shared" si="0"/>
        <v>3.7800000000000002</v>
      </c>
      <c r="G17">
        <f t="shared" si="0"/>
        <v>8.4562500000000007</v>
      </c>
      <c r="H17">
        <f t="shared" si="0"/>
        <v>9</v>
      </c>
      <c r="I17">
        <f t="shared" si="0"/>
        <v>30.625</v>
      </c>
      <c r="J17">
        <f t="shared" si="0"/>
        <v>0.625</v>
      </c>
      <c r="K17">
        <f t="shared" si="0"/>
        <v>0.84612124999999982</v>
      </c>
      <c r="L17">
        <f t="shared" si="0"/>
        <v>962.88797810377014</v>
      </c>
      <c r="M17">
        <f t="shared" si="0"/>
        <v>31.948633804913062</v>
      </c>
      <c r="N17">
        <f t="shared" si="0"/>
        <v>1.507796796796796</v>
      </c>
      <c r="O17">
        <f t="shared" si="0"/>
        <v>1.381074533968538</v>
      </c>
      <c r="P17">
        <f t="shared" si="0"/>
        <v>11.586126217558116</v>
      </c>
      <c r="Q17">
        <f t="shared" si="0"/>
        <v>50.676524792910229</v>
      </c>
      <c r="R17">
        <f t="shared" si="0"/>
        <v>28.415153974070439</v>
      </c>
      <c r="S17">
        <f t="shared" si="0"/>
        <v>1.2221231202565446E-2</v>
      </c>
      <c r="T17">
        <f t="shared" si="0"/>
        <v>0.3937494622234774</v>
      </c>
      <c r="U17">
        <f t="shared" si="0"/>
        <v>0.49981571918950385</v>
      </c>
      <c r="V17" t="e">
        <f t="shared" si="0"/>
        <v>#DIV/0!</v>
      </c>
      <c r="W17">
        <f t="shared" si="0"/>
        <v>6.0638187765816885E-2</v>
      </c>
      <c r="X17">
        <f t="shared" si="0"/>
        <v>29.643490957184621</v>
      </c>
      <c r="Y17">
        <f t="shared" si="0"/>
        <v>3.6505448124375506E-2</v>
      </c>
      <c r="Z17">
        <f t="shared" si="0"/>
        <v>0.7150980299471088</v>
      </c>
      <c r="AA17">
        <f t="shared" si="0"/>
        <v>1.2263585105140442</v>
      </c>
      <c r="AB17">
        <f t="shared" si="0"/>
        <v>5.7517613239072736</v>
      </c>
      <c r="AC17">
        <f t="shared" si="0"/>
        <v>27.769804087611863</v>
      </c>
      <c r="AD17">
        <f t="shared" si="0"/>
        <v>1.6802845379709521</v>
      </c>
      <c r="AE17">
        <f t="shared" si="0"/>
        <v>0.96197926666666667</v>
      </c>
      <c r="AF17">
        <f t="shared" si="0"/>
        <v>0.27522000000000002</v>
      </c>
      <c r="AG17">
        <f t="shared" si="0"/>
        <v>5.285174333333333</v>
      </c>
      <c r="AH17">
        <f t="shared" si="0"/>
        <v>31.416906833333332</v>
      </c>
      <c r="AI17">
        <f t="shared" si="0"/>
        <v>1.4583386666666667</v>
      </c>
    </row>
    <row r="18" spans="1:35" x14ac:dyDescent="0.25">
      <c r="A18" s="34" t="s">
        <v>51</v>
      </c>
      <c r="B18" t="s">
        <v>213</v>
      </c>
      <c r="C18" t="s">
        <v>220</v>
      </c>
      <c r="D18">
        <v>34</v>
      </c>
      <c r="E18">
        <v>43</v>
      </c>
      <c r="F18">
        <v>4.05</v>
      </c>
      <c r="G18">
        <v>10.84</v>
      </c>
      <c r="H18">
        <v>8</v>
      </c>
      <c r="I18">
        <v>24</v>
      </c>
      <c r="J18">
        <v>0</v>
      </c>
      <c r="K18">
        <v>0.84636</v>
      </c>
      <c r="L18">
        <v>1018.3587097821</v>
      </c>
      <c r="M18">
        <v>25.2489061010169</v>
      </c>
      <c r="N18">
        <v>1.6336606606606601</v>
      </c>
      <c r="O18">
        <v>1.51606091796741</v>
      </c>
      <c r="P18">
        <v>17.383592644026599</v>
      </c>
      <c r="Q18">
        <v>60.641602687219397</v>
      </c>
      <c r="R18">
        <v>38.329041154160798</v>
      </c>
      <c r="S18">
        <v>9.2424386448948081E-3</v>
      </c>
      <c r="T18">
        <v>0.54797313595408803</v>
      </c>
      <c r="U18">
        <v>0.52841758256948701</v>
      </c>
    </row>
    <row r="19" spans="1:35" x14ac:dyDescent="0.25">
      <c r="A19" s="34" t="s">
        <v>52</v>
      </c>
      <c r="B19" t="s">
        <v>213</v>
      </c>
      <c r="C19" t="s">
        <v>220</v>
      </c>
      <c r="D19">
        <v>28</v>
      </c>
      <c r="E19">
        <v>10</v>
      </c>
      <c r="F19">
        <v>3.88</v>
      </c>
      <c r="G19">
        <v>10.29</v>
      </c>
      <c r="H19">
        <v>3</v>
      </c>
      <c r="I19">
        <v>31</v>
      </c>
      <c r="J19">
        <v>1</v>
      </c>
      <c r="K19">
        <v>0.83648999999999996</v>
      </c>
      <c r="L19">
        <v>1091.78431706895</v>
      </c>
      <c r="M19">
        <v>31.524223037730199</v>
      </c>
      <c r="N19">
        <v>1.5052582582582601</v>
      </c>
      <c r="O19">
        <v>1.37509328436541</v>
      </c>
      <c r="P19">
        <v>12.1545419581972</v>
      </c>
      <c r="Q19">
        <v>45.196529570201797</v>
      </c>
      <c r="R19">
        <v>32.630003176999303</v>
      </c>
      <c r="S19">
        <v>1.4319569752565049E-2</v>
      </c>
      <c r="T19">
        <v>0.46994631005139698</v>
      </c>
      <c r="U19">
        <v>0.440940929873058</v>
      </c>
    </row>
    <row r="20" spans="1:35" x14ac:dyDescent="0.25">
      <c r="A20" s="34" t="s">
        <v>53</v>
      </c>
      <c r="B20" t="s">
        <v>213</v>
      </c>
      <c r="C20" t="s">
        <v>220</v>
      </c>
      <c r="D20">
        <v>31</v>
      </c>
      <c r="E20">
        <v>29</v>
      </c>
      <c r="F20">
        <v>6.01</v>
      </c>
      <c r="G20">
        <v>7.74</v>
      </c>
      <c r="H20">
        <v>11</v>
      </c>
      <c r="I20">
        <v>39</v>
      </c>
      <c r="J20">
        <v>0</v>
      </c>
      <c r="K20">
        <v>0.82155</v>
      </c>
      <c r="L20">
        <v>1265.7147733592601</v>
      </c>
      <c r="M20">
        <v>28.306629906759799</v>
      </c>
      <c r="N20">
        <v>1.6834354354354399</v>
      </c>
      <c r="O20">
        <v>1.56011082772387</v>
      </c>
      <c r="P20">
        <v>16.142578479963699</v>
      </c>
      <c r="Q20">
        <v>45.1920351047278</v>
      </c>
      <c r="R20">
        <v>42.710417354225797</v>
      </c>
      <c r="S20">
        <v>1.4256668343005209E-2</v>
      </c>
      <c r="T20">
        <v>0.69545747605436004</v>
      </c>
      <c r="U20">
        <v>0.45147766299727898</v>
      </c>
    </row>
    <row r="21" spans="1:35" x14ac:dyDescent="0.25">
      <c r="A21" s="34" t="s">
        <v>54</v>
      </c>
      <c r="B21" t="s">
        <v>213</v>
      </c>
      <c r="C21" t="s">
        <v>220</v>
      </c>
      <c r="D21">
        <v>20</v>
      </c>
      <c r="E21">
        <v>27</v>
      </c>
      <c r="F21">
        <v>5.73</v>
      </c>
      <c r="G21">
        <v>11.86</v>
      </c>
      <c r="H21">
        <v>14</v>
      </c>
      <c r="I21">
        <v>21</v>
      </c>
      <c r="J21">
        <v>2</v>
      </c>
      <c r="K21">
        <v>0.92144999999999999</v>
      </c>
      <c r="L21">
        <v>1190.53725642831</v>
      </c>
      <c r="M21">
        <v>25.366059935805399</v>
      </c>
      <c r="N21">
        <v>1.5590246913580199</v>
      </c>
      <c r="O21">
        <v>1.4304721380581</v>
      </c>
      <c r="P21">
        <v>17.441417121222202</v>
      </c>
      <c r="Q21">
        <v>59.071477876525101</v>
      </c>
      <c r="R21">
        <v>44.929888353465202</v>
      </c>
      <c r="S21">
        <v>1.0614112781260839E-2</v>
      </c>
      <c r="T21">
        <v>0.70894701820233996</v>
      </c>
      <c r="U21">
        <v>0.60400605532590002</v>
      </c>
    </row>
    <row r="22" spans="1:35" x14ac:dyDescent="0.25">
      <c r="A22" s="34" t="s">
        <v>55</v>
      </c>
      <c r="B22" t="s">
        <v>213</v>
      </c>
      <c r="C22" t="s">
        <v>220</v>
      </c>
      <c r="D22">
        <v>33</v>
      </c>
      <c r="E22">
        <v>16</v>
      </c>
      <c r="F22">
        <v>2.88</v>
      </c>
      <c r="G22">
        <v>8.23</v>
      </c>
      <c r="H22">
        <v>7</v>
      </c>
      <c r="I22">
        <v>27</v>
      </c>
      <c r="J22">
        <v>0</v>
      </c>
      <c r="K22">
        <v>0.73841999999999997</v>
      </c>
      <c r="L22">
        <v>1229.54203010275</v>
      </c>
      <c r="M22">
        <v>29.1864053181563</v>
      </c>
      <c r="N22">
        <v>1.6479999999999999</v>
      </c>
      <c r="O22">
        <v>1.60538858190639</v>
      </c>
      <c r="P22">
        <v>16.398561037460698</v>
      </c>
      <c r="Q22">
        <v>44.461221991873899</v>
      </c>
      <c r="R22">
        <v>40.1233281438586</v>
      </c>
      <c r="S22">
        <v>1.379733036032307E-2</v>
      </c>
      <c r="T22">
        <v>0.69502958568037299</v>
      </c>
      <c r="U22">
        <v>0.42408719320734301</v>
      </c>
    </row>
    <row r="23" spans="1:35" x14ac:dyDescent="0.25">
      <c r="A23" s="34" t="s">
        <v>56</v>
      </c>
      <c r="B23" t="s">
        <v>213</v>
      </c>
      <c r="C23" t="s">
        <v>220</v>
      </c>
      <c r="D23">
        <v>9</v>
      </c>
      <c r="E23">
        <v>20</v>
      </c>
      <c r="F23">
        <v>4.01</v>
      </c>
      <c r="G23">
        <v>30.56</v>
      </c>
      <c r="H23">
        <v>15.75</v>
      </c>
      <c r="I23">
        <v>65.75</v>
      </c>
      <c r="J23">
        <v>2</v>
      </c>
      <c r="K23">
        <v>0.57287999999999994</v>
      </c>
      <c r="W23">
        <v>6.9533135999999995E-2</v>
      </c>
      <c r="X23">
        <v>27.194800828094301</v>
      </c>
      <c r="Y23">
        <v>3.6791858484853598E-2</v>
      </c>
      <c r="Z23">
        <v>0.76355750977777104</v>
      </c>
      <c r="AA23">
        <v>1.05130743144804</v>
      </c>
      <c r="AB23">
        <v>5.3151699101091303</v>
      </c>
      <c r="AC23">
        <v>24.156843380000002</v>
      </c>
      <c r="AD23">
        <v>1.818910611</v>
      </c>
    </row>
    <row r="24" spans="1:35" x14ac:dyDescent="0.25">
      <c r="A24" s="34" t="s">
        <v>57</v>
      </c>
      <c r="B24" t="s">
        <v>213</v>
      </c>
      <c r="C24" t="s">
        <v>220</v>
      </c>
      <c r="D24">
        <v>9</v>
      </c>
      <c r="E24">
        <v>17</v>
      </c>
      <c r="F24">
        <v>8.98</v>
      </c>
      <c r="G24">
        <v>18.95</v>
      </c>
      <c r="H24">
        <v>10</v>
      </c>
      <c r="I24">
        <v>60.67</v>
      </c>
      <c r="J24">
        <v>0</v>
      </c>
      <c r="K24">
        <v>0.72994000000000003</v>
      </c>
      <c r="W24">
        <v>6.4500925231525202E-2</v>
      </c>
      <c r="X24">
        <v>28.579623908029902</v>
      </c>
      <c r="Y24">
        <v>3.4997190623553102E-2</v>
      </c>
      <c r="Z24">
        <v>0.73386635570936898</v>
      </c>
      <c r="AA24">
        <v>1.1064110149999999</v>
      </c>
      <c r="AB24">
        <v>5.318782476</v>
      </c>
      <c r="AC24">
        <v>26.88759117</v>
      </c>
      <c r="AD24">
        <v>2.2764898580000001</v>
      </c>
    </row>
    <row r="25" spans="1:35" x14ac:dyDescent="0.25">
      <c r="A25" s="34" t="s">
        <v>58</v>
      </c>
      <c r="B25" t="s">
        <v>213</v>
      </c>
      <c r="C25" t="s">
        <v>220</v>
      </c>
      <c r="D25">
        <v>8</v>
      </c>
      <c r="E25">
        <v>21</v>
      </c>
      <c r="F25">
        <v>3.26</v>
      </c>
      <c r="G25">
        <v>22.59</v>
      </c>
      <c r="H25">
        <v>10.25</v>
      </c>
      <c r="I25">
        <v>54.5</v>
      </c>
      <c r="J25">
        <v>0</v>
      </c>
      <c r="K25">
        <v>0.79430999999999996</v>
      </c>
      <c r="W25">
        <v>7.4432726000000005E-2</v>
      </c>
      <c r="X25">
        <v>24.7259359736561</v>
      </c>
      <c r="Y25">
        <v>4.0456631232564502E-2</v>
      </c>
      <c r="Z25">
        <v>0.82299658200000003</v>
      </c>
      <c r="AA25">
        <v>1.0509131730000001</v>
      </c>
      <c r="AB25">
        <v>4.3163435870000004</v>
      </c>
      <c r="AC25">
        <v>23.894437249999999</v>
      </c>
      <c r="AD25">
        <v>2.6063768820000002</v>
      </c>
    </row>
    <row r="26" spans="1:35" x14ac:dyDescent="0.25">
      <c r="A26" s="34" t="s">
        <v>59</v>
      </c>
      <c r="B26" t="s">
        <v>213</v>
      </c>
      <c r="C26" t="s">
        <v>220</v>
      </c>
      <c r="D26">
        <v>7</v>
      </c>
      <c r="E26">
        <v>17</v>
      </c>
      <c r="F26">
        <v>10.69</v>
      </c>
      <c r="G26">
        <v>13.72</v>
      </c>
      <c r="H26">
        <v>9</v>
      </c>
      <c r="I26">
        <v>39.67</v>
      </c>
      <c r="J26">
        <v>3</v>
      </c>
      <c r="K26">
        <v>0.66988000000000003</v>
      </c>
      <c r="W26">
        <v>5.9038429000000003E-2</v>
      </c>
      <c r="X26">
        <v>30.608405423649501</v>
      </c>
      <c r="Y26">
        <v>3.2698166296246903E-2</v>
      </c>
      <c r="Z26">
        <v>0.69249990930912797</v>
      </c>
      <c r="AA26">
        <v>1.3003718259999999</v>
      </c>
      <c r="AB26">
        <v>5.4065685270000001</v>
      </c>
      <c r="AC26">
        <v>29.059746050000001</v>
      </c>
      <c r="AD26">
        <v>2.3379877649999998</v>
      </c>
    </row>
    <row r="27" spans="1:35" x14ac:dyDescent="0.25">
      <c r="A27" s="34" t="s">
        <v>60</v>
      </c>
      <c r="B27" t="s">
        <v>213</v>
      </c>
      <c r="C27" t="s">
        <v>220</v>
      </c>
      <c r="W27">
        <v>6.8875775004374501E-2</v>
      </c>
      <c r="X27">
        <v>25.785028192157899</v>
      </c>
      <c r="Y27">
        <v>3.8823566538900699E-2</v>
      </c>
      <c r="Z27">
        <v>0.76821489608362703</v>
      </c>
      <c r="AA27">
        <v>1.16311617827075</v>
      </c>
      <c r="AB27">
        <v>4.1034275120931598</v>
      </c>
      <c r="AC27">
        <v>25.234064953033499</v>
      </c>
      <c r="AD27">
        <v>2.5003495345444602</v>
      </c>
    </row>
    <row r="28" spans="1:35" x14ac:dyDescent="0.25">
      <c r="A28" s="34" t="s">
        <v>61</v>
      </c>
      <c r="B28" t="s">
        <v>213</v>
      </c>
      <c r="C28" t="s">
        <v>220</v>
      </c>
      <c r="W28">
        <v>4.3577144478773998E-2</v>
      </c>
      <c r="X28">
        <v>41.803628559860798</v>
      </c>
      <c r="Y28">
        <v>2.3921487733949701E-2</v>
      </c>
      <c r="Z28">
        <v>0.56799230413072699</v>
      </c>
      <c r="AA28">
        <v>1.2285819372020099</v>
      </c>
      <c r="AB28">
        <v>7.7476907454382697</v>
      </c>
      <c r="AC28">
        <v>41.393095483840703</v>
      </c>
      <c r="AD28">
        <v>1.76196017351818</v>
      </c>
    </row>
    <row r="29" spans="1:35" x14ac:dyDescent="0.25">
      <c r="A29" s="34" t="s">
        <v>62</v>
      </c>
      <c r="B29" t="s">
        <v>213</v>
      </c>
      <c r="C29" t="s">
        <v>220</v>
      </c>
      <c r="W29">
        <v>4.4518965325092898E-2</v>
      </c>
      <c r="X29">
        <v>43.008475850693898</v>
      </c>
      <c r="Y29">
        <v>2.3284970948619001E-2</v>
      </c>
      <c r="Z29">
        <v>0.55338928650721997</v>
      </c>
      <c r="AA29">
        <v>1.5042730713363299</v>
      </c>
      <c r="AB29">
        <v>7.5705913942309699</v>
      </c>
      <c r="AC29">
        <v>42.806996526275398</v>
      </c>
      <c r="AD29">
        <v>1.5062150963835499</v>
      </c>
    </row>
    <row r="30" spans="1:35" x14ac:dyDescent="0.25">
      <c r="A30" s="34" t="s">
        <v>63</v>
      </c>
      <c r="B30" t="s">
        <v>213</v>
      </c>
      <c r="C30" t="s">
        <v>220</v>
      </c>
      <c r="W30">
        <v>4.8907869540057998E-2</v>
      </c>
      <c r="X30">
        <v>40.398442974004801</v>
      </c>
      <c r="Y30">
        <v>2.47817766589262E-2</v>
      </c>
      <c r="Z30">
        <v>0.57089588288549897</v>
      </c>
      <c r="AA30">
        <v>1.27024054297429</v>
      </c>
      <c r="AB30">
        <v>6.8269065800112596</v>
      </c>
      <c r="AC30">
        <v>39.856809914537699</v>
      </c>
      <c r="AD30">
        <v>1.3242035113499899</v>
      </c>
    </row>
    <row r="31" spans="1:35" x14ac:dyDescent="0.25">
      <c r="A31" s="34" t="s">
        <v>64</v>
      </c>
      <c r="B31" t="s">
        <v>213</v>
      </c>
      <c r="C31" t="s">
        <v>220</v>
      </c>
      <c r="AE31">
        <v>0.88636366700000002</v>
      </c>
      <c r="AF31">
        <v>0.24621233300000001</v>
      </c>
      <c r="AG31">
        <v>4.8490453330000003</v>
      </c>
      <c r="AH31">
        <v>36.669426999999999</v>
      </c>
      <c r="AI31">
        <v>1.433971667</v>
      </c>
    </row>
    <row r="32" spans="1:35" x14ac:dyDescent="0.25">
      <c r="A32" s="34" t="s">
        <v>65</v>
      </c>
      <c r="B32" t="s">
        <v>213</v>
      </c>
      <c r="C32" t="s">
        <v>220</v>
      </c>
      <c r="AE32">
        <v>1.181818</v>
      </c>
      <c r="AF32">
        <v>0.38825700000000002</v>
      </c>
      <c r="AG32">
        <v>4.085718</v>
      </c>
      <c r="AH32">
        <v>49.83822</v>
      </c>
      <c r="AI32">
        <v>1.300986</v>
      </c>
    </row>
    <row r="33" spans="1:35" x14ac:dyDescent="0.25">
      <c r="A33" s="34" t="s">
        <v>66</v>
      </c>
      <c r="B33" t="s">
        <v>213</v>
      </c>
      <c r="C33" t="s">
        <v>220</v>
      </c>
      <c r="AE33">
        <v>1.511363</v>
      </c>
      <c r="AF33">
        <v>0.23863599999999999</v>
      </c>
      <c r="AG33">
        <v>2.6343890000000001</v>
      </c>
      <c r="AH33">
        <v>45.0473</v>
      </c>
      <c r="AI33">
        <v>1.4460459999999999</v>
      </c>
    </row>
    <row r="34" spans="1:35" x14ac:dyDescent="0.25">
      <c r="A34" s="34" t="s">
        <v>67</v>
      </c>
      <c r="B34" t="s">
        <v>213</v>
      </c>
      <c r="C34" t="s">
        <v>220</v>
      </c>
      <c r="AG34">
        <v>3.572314</v>
      </c>
      <c r="AH34">
        <v>29.786989999999999</v>
      </c>
    </row>
    <row r="35" spans="1:35" x14ac:dyDescent="0.25">
      <c r="A35" s="34" t="s">
        <v>68</v>
      </c>
      <c r="B35" t="s">
        <v>213</v>
      </c>
      <c r="C35" t="s">
        <v>220</v>
      </c>
      <c r="AG35">
        <v>3.160968</v>
      </c>
    </row>
    <row r="36" spans="1:35" x14ac:dyDescent="0.25">
      <c r="A36" s="21" t="s">
        <v>50</v>
      </c>
      <c r="D36">
        <f>AVERAGE(D18:D35)</f>
        <v>19.888888888888889</v>
      </c>
      <c r="E36">
        <f t="shared" ref="E36:AI36" si="1">AVERAGE(E18:E35)</f>
        <v>22.222222222222221</v>
      </c>
      <c r="F36">
        <f t="shared" si="1"/>
        <v>5.4988888888888887</v>
      </c>
      <c r="G36">
        <f t="shared" si="1"/>
        <v>14.975555555555555</v>
      </c>
      <c r="H36">
        <f t="shared" si="1"/>
        <v>9.7777777777777786</v>
      </c>
      <c r="I36">
        <f t="shared" si="1"/>
        <v>40.287777777777784</v>
      </c>
      <c r="J36">
        <f t="shared" si="1"/>
        <v>0.88888888888888884</v>
      </c>
      <c r="K36">
        <f t="shared" si="1"/>
        <v>0.77014222222222228</v>
      </c>
      <c r="L36">
        <f t="shared" si="1"/>
        <v>1159.187417348274</v>
      </c>
      <c r="M36">
        <f t="shared" si="1"/>
        <v>27.926444859893717</v>
      </c>
      <c r="N36">
        <f t="shared" si="1"/>
        <v>1.6058758091424761</v>
      </c>
      <c r="O36">
        <f t="shared" si="1"/>
        <v>1.4974251500042359</v>
      </c>
      <c r="P36">
        <f t="shared" si="1"/>
        <v>15.904138248174078</v>
      </c>
      <c r="Q36">
        <f t="shared" si="1"/>
        <v>50.912573446109604</v>
      </c>
      <c r="R36">
        <f t="shared" si="1"/>
        <v>39.74453563654194</v>
      </c>
      <c r="S36">
        <f t="shared" si="1"/>
        <v>1.2446023976409796E-2</v>
      </c>
      <c r="T36">
        <f t="shared" si="1"/>
        <v>0.62347070518851155</v>
      </c>
      <c r="U36">
        <f t="shared" si="1"/>
        <v>0.48978588479461338</v>
      </c>
      <c r="V36" t="e">
        <f t="shared" si="1"/>
        <v>#DIV/0!</v>
      </c>
      <c r="W36">
        <f t="shared" si="1"/>
        <v>5.9173121322478074E-2</v>
      </c>
      <c r="X36">
        <f t="shared" si="1"/>
        <v>32.763042713768399</v>
      </c>
      <c r="Y36">
        <f t="shared" si="1"/>
        <v>3.1969456064701716E-2</v>
      </c>
      <c r="Z36">
        <f t="shared" si="1"/>
        <v>0.68417659080041771</v>
      </c>
      <c r="AA36">
        <f t="shared" si="1"/>
        <v>1.2094018969039275</v>
      </c>
      <c r="AB36">
        <f t="shared" si="1"/>
        <v>5.8256850914853482</v>
      </c>
      <c r="AC36">
        <f t="shared" si="1"/>
        <v>31.661198090960912</v>
      </c>
      <c r="AD36">
        <f t="shared" si="1"/>
        <v>2.0165616789745222</v>
      </c>
      <c r="AE36">
        <f t="shared" si="1"/>
        <v>1.1931815556666667</v>
      </c>
      <c r="AF36">
        <f t="shared" si="1"/>
        <v>0.29103511099999996</v>
      </c>
      <c r="AG36">
        <f t="shared" si="1"/>
        <v>3.6604868666000003</v>
      </c>
      <c r="AH36">
        <f t="shared" si="1"/>
        <v>40.33548425</v>
      </c>
      <c r="AI36">
        <f t="shared" si="1"/>
        <v>1.3936678889999998</v>
      </c>
    </row>
    <row r="37" spans="1:35" x14ac:dyDescent="0.25">
      <c r="A37" s="35" t="s">
        <v>69</v>
      </c>
      <c r="B37" t="s">
        <v>214</v>
      </c>
      <c r="C37" t="s">
        <v>219</v>
      </c>
      <c r="D37">
        <v>11</v>
      </c>
      <c r="E37">
        <v>19</v>
      </c>
      <c r="F37">
        <v>5.85</v>
      </c>
      <c r="G37">
        <v>5.57</v>
      </c>
      <c r="H37">
        <v>5</v>
      </c>
      <c r="I37">
        <v>28</v>
      </c>
      <c r="J37">
        <v>0</v>
      </c>
      <c r="K37">
        <v>0.88524999999999998</v>
      </c>
      <c r="M37">
        <v>1044.63667804842</v>
      </c>
      <c r="N37">
        <v>1.3338702035368699</v>
      </c>
      <c r="O37">
        <v>1.2134653267901001</v>
      </c>
      <c r="P37">
        <v>3.957643237014</v>
      </c>
      <c r="Q37">
        <v>21.2222559598241</v>
      </c>
      <c r="R37">
        <v>20.7439619770261</v>
      </c>
      <c r="S37">
        <v>4.0442958490004989E-2</v>
      </c>
      <c r="T37">
        <v>0.100564849854804</v>
      </c>
      <c r="U37">
        <v>0.10593776041998</v>
      </c>
      <c r="V37">
        <v>9.4815634731501827E-2</v>
      </c>
    </row>
    <row r="38" spans="1:35" x14ac:dyDescent="0.25">
      <c r="A38" s="35" t="s">
        <v>70</v>
      </c>
      <c r="B38" t="s">
        <v>214</v>
      </c>
      <c r="C38" t="s">
        <v>219</v>
      </c>
      <c r="D38">
        <v>18</v>
      </c>
      <c r="E38">
        <v>24</v>
      </c>
      <c r="F38">
        <v>2.42</v>
      </c>
      <c r="G38">
        <v>5.68</v>
      </c>
      <c r="H38">
        <v>14</v>
      </c>
      <c r="I38">
        <v>39</v>
      </c>
      <c r="J38">
        <v>0</v>
      </c>
      <c r="K38">
        <v>0.93474000000000002</v>
      </c>
      <c r="M38">
        <v>1090.0651567648999</v>
      </c>
      <c r="N38">
        <v>1.5494557891224601</v>
      </c>
      <c r="O38">
        <v>1.2273425398284299</v>
      </c>
      <c r="P38">
        <v>10.826800766331299</v>
      </c>
      <c r="Q38">
        <v>46.5143679098123</v>
      </c>
      <c r="R38">
        <v>31.080865747018201</v>
      </c>
      <c r="S38">
        <v>1.4389486501101049E-2</v>
      </c>
      <c r="T38">
        <v>0.125820802388417</v>
      </c>
      <c r="U38">
        <v>0.19847666556556601</v>
      </c>
      <c r="V38">
        <v>6.9270866931057731E-2</v>
      </c>
    </row>
    <row r="39" spans="1:35" x14ac:dyDescent="0.25">
      <c r="A39" s="35" t="s">
        <v>71</v>
      </c>
      <c r="B39" t="s">
        <v>214</v>
      </c>
      <c r="C39" t="s">
        <v>219</v>
      </c>
      <c r="D39">
        <v>9</v>
      </c>
      <c r="E39">
        <v>25</v>
      </c>
      <c r="F39">
        <v>1.03</v>
      </c>
      <c r="G39">
        <v>6.01</v>
      </c>
      <c r="H39">
        <v>7</v>
      </c>
      <c r="I39">
        <v>47</v>
      </c>
      <c r="J39">
        <v>1</v>
      </c>
      <c r="K39">
        <v>0.86631999999999998</v>
      </c>
      <c r="M39">
        <v>1248.9091483208099</v>
      </c>
      <c r="N39">
        <v>1.3695502168835501</v>
      </c>
      <c r="O39">
        <v>1.2839929656687099</v>
      </c>
      <c r="P39">
        <v>7.6538064557379899</v>
      </c>
      <c r="Q39">
        <v>37.025250871621601</v>
      </c>
      <c r="R39">
        <v>29.302102956227099</v>
      </c>
      <c r="S39">
        <v>2.0670696202667659E-2</v>
      </c>
      <c r="T39">
        <v>0.114580228152641</v>
      </c>
      <c r="U39">
        <v>0.16824000111197701</v>
      </c>
      <c r="V39">
        <v>7.5238602314310774E-2</v>
      </c>
    </row>
    <row r="40" spans="1:35" x14ac:dyDescent="0.25">
      <c r="A40" s="35" t="s">
        <v>72</v>
      </c>
      <c r="B40" t="s">
        <v>214</v>
      </c>
      <c r="C40" t="s">
        <v>219</v>
      </c>
      <c r="D40">
        <v>7</v>
      </c>
      <c r="E40">
        <v>19</v>
      </c>
      <c r="F40">
        <v>1.23</v>
      </c>
      <c r="G40">
        <v>6.06</v>
      </c>
      <c r="H40">
        <v>9</v>
      </c>
      <c r="I40">
        <v>35</v>
      </c>
      <c r="J40">
        <v>0</v>
      </c>
      <c r="K40">
        <v>0.89632999999999996</v>
      </c>
      <c r="W40">
        <v>8.4361192000000002E-2</v>
      </c>
      <c r="X40">
        <v>18.716747527971101</v>
      </c>
      <c r="Y40">
        <v>5.3450614043178413E-2</v>
      </c>
      <c r="Z40">
        <v>0.92807229000000002</v>
      </c>
      <c r="AA40">
        <v>1.3297716909008439</v>
      </c>
      <c r="AB40">
        <v>3.0689178240000001</v>
      </c>
      <c r="AC40">
        <v>18.237144610715621</v>
      </c>
      <c r="AD40">
        <v>2.8439831020000002</v>
      </c>
    </row>
    <row r="41" spans="1:35" x14ac:dyDescent="0.25">
      <c r="A41" s="35" t="s">
        <v>73</v>
      </c>
      <c r="B41" t="s">
        <v>214</v>
      </c>
      <c r="C41" t="s">
        <v>219</v>
      </c>
      <c r="W41">
        <v>7.7913167000000005E-2</v>
      </c>
      <c r="X41">
        <v>19.332465403571678</v>
      </c>
      <c r="Y41">
        <v>5.1749689485606147E-2</v>
      </c>
      <c r="Z41">
        <v>0.92138229299999996</v>
      </c>
      <c r="AA41">
        <v>1.2584975906442259</v>
      </c>
      <c r="AB41">
        <v>3.1768779500000002</v>
      </c>
      <c r="AC41">
        <v>19.486461548285689</v>
      </c>
      <c r="AD41">
        <v>2.4797447450000001</v>
      </c>
    </row>
    <row r="42" spans="1:35" x14ac:dyDescent="0.25">
      <c r="A42" s="35" t="s">
        <v>74</v>
      </c>
      <c r="B42" t="s">
        <v>214</v>
      </c>
      <c r="C42" t="s">
        <v>219</v>
      </c>
      <c r="W42">
        <v>8.5443780999999996E-2</v>
      </c>
      <c r="X42">
        <v>18.335635480379569</v>
      </c>
      <c r="Y42">
        <v>5.455183020108418E-2</v>
      </c>
      <c r="Z42">
        <v>0.82978788599999997</v>
      </c>
      <c r="AA42">
        <v>1.241936244294966</v>
      </c>
      <c r="AB42">
        <v>2.7085312090000002</v>
      </c>
      <c r="AC42">
        <v>19.519713217180581</v>
      </c>
      <c r="AD42">
        <v>3.7693724890000002</v>
      </c>
    </row>
    <row r="43" spans="1:35" x14ac:dyDescent="0.25">
      <c r="A43" s="35" t="s">
        <v>75</v>
      </c>
      <c r="B43" t="s">
        <v>214</v>
      </c>
      <c r="C43" t="s">
        <v>219</v>
      </c>
      <c r="W43">
        <v>7.8555901999999997E-2</v>
      </c>
      <c r="X43">
        <v>19.43270614870822</v>
      </c>
      <c r="Y43">
        <v>5.1461718466870962E-2</v>
      </c>
      <c r="Z43">
        <v>0.94148961499999995</v>
      </c>
      <c r="AA43">
        <v>1.1485903182110999</v>
      </c>
      <c r="AB43">
        <v>3.190581629</v>
      </c>
      <c r="AC43">
        <v>19.941012416785021</v>
      </c>
      <c r="AD43">
        <v>2.516744374</v>
      </c>
    </row>
    <row r="44" spans="1:35" x14ac:dyDescent="0.25">
      <c r="A44" s="35" t="s">
        <v>76</v>
      </c>
      <c r="B44" t="s">
        <v>214</v>
      </c>
      <c r="C44" t="s">
        <v>219</v>
      </c>
      <c r="W44">
        <v>8.3648377999999995E-2</v>
      </c>
      <c r="X44">
        <v>19.114250754003479</v>
      </c>
      <c r="Y44">
        <v>5.231823639209221E-2</v>
      </c>
      <c r="Z44">
        <v>0.89244683000000002</v>
      </c>
      <c r="AA44">
        <v>1.441123348164683</v>
      </c>
      <c r="AB44">
        <v>3.6352340980000002</v>
      </c>
      <c r="AC44">
        <v>17.986438083775599</v>
      </c>
      <c r="AD44">
        <v>2.8498351479999999</v>
      </c>
    </row>
    <row r="45" spans="1:35" x14ac:dyDescent="0.25">
      <c r="A45" s="35" t="s">
        <v>77</v>
      </c>
      <c r="B45" t="s">
        <v>214</v>
      </c>
      <c r="C45" t="s">
        <v>219</v>
      </c>
    </row>
    <row r="46" spans="1:35" x14ac:dyDescent="0.25">
      <c r="A46" s="35" t="s">
        <v>78</v>
      </c>
      <c r="B46" t="s">
        <v>214</v>
      </c>
      <c r="C46" t="s">
        <v>219</v>
      </c>
    </row>
    <row r="47" spans="1:35" x14ac:dyDescent="0.25">
      <c r="A47" s="21" t="s">
        <v>50</v>
      </c>
      <c r="D47">
        <f>AVERAGE(D37:D46)</f>
        <v>11.25</v>
      </c>
      <c r="E47">
        <f t="shared" ref="E47:AI47" si="2">AVERAGE(E37:E46)</f>
        <v>21.75</v>
      </c>
      <c r="F47">
        <f t="shared" si="2"/>
        <v>2.6324999999999998</v>
      </c>
      <c r="G47">
        <f t="shared" si="2"/>
        <v>5.8299999999999992</v>
      </c>
      <c r="H47">
        <f t="shared" si="2"/>
        <v>8.75</v>
      </c>
      <c r="I47">
        <f t="shared" si="2"/>
        <v>37.25</v>
      </c>
      <c r="J47">
        <f t="shared" si="2"/>
        <v>0.25</v>
      </c>
      <c r="K47">
        <f t="shared" si="2"/>
        <v>0.8956599999999999</v>
      </c>
      <c r="L47" t="e">
        <f t="shared" si="2"/>
        <v>#DIV/0!</v>
      </c>
      <c r="M47">
        <f t="shared" si="2"/>
        <v>1127.8703277113766</v>
      </c>
      <c r="N47">
        <f t="shared" si="2"/>
        <v>1.4176254031809599</v>
      </c>
      <c r="O47">
        <f t="shared" si="2"/>
        <v>1.24160027742908</v>
      </c>
      <c r="P47">
        <f t="shared" si="2"/>
        <v>7.4794168196944293</v>
      </c>
      <c r="Q47">
        <f t="shared" si="2"/>
        <v>34.920624913752668</v>
      </c>
      <c r="R47">
        <f t="shared" si="2"/>
        <v>27.042310226757134</v>
      </c>
      <c r="S47">
        <f t="shared" si="2"/>
        <v>2.5167713731257899E-2</v>
      </c>
      <c r="T47">
        <f t="shared" si="2"/>
        <v>0.11365529346528734</v>
      </c>
      <c r="U47">
        <f t="shared" si="2"/>
        <v>0.15755147569917435</v>
      </c>
      <c r="V47">
        <f t="shared" si="2"/>
        <v>7.9775034658956787E-2</v>
      </c>
      <c r="W47">
        <f t="shared" si="2"/>
        <v>8.1984483999999996E-2</v>
      </c>
      <c r="X47">
        <f t="shared" si="2"/>
        <v>18.986361062926811</v>
      </c>
      <c r="Y47">
        <f t="shared" si="2"/>
        <v>5.2706417717766386E-2</v>
      </c>
      <c r="Z47">
        <f t="shared" si="2"/>
        <v>0.90263578280000001</v>
      </c>
      <c r="AA47">
        <f t="shared" si="2"/>
        <v>1.2839838384431637</v>
      </c>
      <c r="AB47">
        <f t="shared" si="2"/>
        <v>3.1560285420000005</v>
      </c>
      <c r="AC47">
        <f t="shared" si="2"/>
        <v>19.034153975348499</v>
      </c>
      <c r="AD47">
        <f t="shared" si="2"/>
        <v>2.8919359716000002</v>
      </c>
      <c r="AE47" t="e">
        <f t="shared" si="2"/>
        <v>#DIV/0!</v>
      </c>
      <c r="AF47" t="e">
        <f t="shared" si="2"/>
        <v>#DIV/0!</v>
      </c>
      <c r="AG47" t="e">
        <f t="shared" si="2"/>
        <v>#DIV/0!</v>
      </c>
      <c r="AH47" t="e">
        <f t="shared" si="2"/>
        <v>#DIV/0!</v>
      </c>
      <c r="AI47" t="e">
        <f t="shared" si="2"/>
        <v>#DIV/0!</v>
      </c>
    </row>
    <row r="48" spans="1:35" x14ac:dyDescent="0.25">
      <c r="A48" s="34" t="s">
        <v>79</v>
      </c>
      <c r="B48" t="s">
        <v>214</v>
      </c>
      <c r="C48" t="s">
        <v>220</v>
      </c>
      <c r="D48">
        <v>19</v>
      </c>
      <c r="E48">
        <v>17</v>
      </c>
      <c r="F48">
        <v>3.75</v>
      </c>
      <c r="G48">
        <v>6.85</v>
      </c>
      <c r="H48">
        <v>5</v>
      </c>
      <c r="I48">
        <v>28</v>
      </c>
      <c r="J48">
        <v>0</v>
      </c>
      <c r="K48">
        <v>0.86719999999999997</v>
      </c>
      <c r="L48">
        <v>748.04226612794696</v>
      </c>
      <c r="M48">
        <v>37.389166596423301</v>
      </c>
      <c r="N48">
        <v>1.18811144477811</v>
      </c>
      <c r="O48">
        <v>1.6230515005858701</v>
      </c>
      <c r="P48">
        <v>8.5338101024760107</v>
      </c>
      <c r="Q48">
        <v>56.842408416519604</v>
      </c>
      <c r="R48">
        <v>30.008813938383799</v>
      </c>
      <c r="S48">
        <v>1.2959644091044791E-2</v>
      </c>
      <c r="T48">
        <v>3.8224623521933301E-2</v>
      </c>
      <c r="U48">
        <v>0.51938787049884605</v>
      </c>
      <c r="V48">
        <v>4.2821260669871512E-2</v>
      </c>
    </row>
    <row r="49" spans="1:35" x14ac:dyDescent="0.25">
      <c r="A49" s="34" t="s">
        <v>80</v>
      </c>
      <c r="B49" t="s">
        <v>214</v>
      </c>
      <c r="C49" t="s">
        <v>220</v>
      </c>
      <c r="D49">
        <v>12</v>
      </c>
      <c r="E49">
        <v>13</v>
      </c>
      <c r="F49">
        <v>8.91</v>
      </c>
      <c r="G49">
        <v>7.28</v>
      </c>
      <c r="H49">
        <v>10</v>
      </c>
      <c r="I49">
        <v>44</v>
      </c>
      <c r="J49">
        <v>0</v>
      </c>
      <c r="K49">
        <v>0.85460000000000003</v>
      </c>
      <c r="L49">
        <v>1184.58354571789</v>
      </c>
      <c r="M49">
        <v>33.598601651558901</v>
      </c>
      <c r="N49">
        <v>1.2649849849849799</v>
      </c>
      <c r="O49">
        <v>1.52793792596816</v>
      </c>
      <c r="P49">
        <v>12.045344917982201</v>
      </c>
      <c r="Q49">
        <v>41.415956730938397</v>
      </c>
      <c r="R49">
        <v>55.422956873988298</v>
      </c>
      <c r="S49">
        <v>1.9621557677002952E-2</v>
      </c>
      <c r="T49">
        <v>8.7188968911151202E-2</v>
      </c>
      <c r="U49">
        <v>0.117514598081395</v>
      </c>
      <c r="V49">
        <v>9.0024235234894764E-2</v>
      </c>
    </row>
    <row r="50" spans="1:35" x14ac:dyDescent="0.25">
      <c r="A50" s="34" t="s">
        <v>81</v>
      </c>
      <c r="B50" t="s">
        <v>214</v>
      </c>
      <c r="C50" t="s">
        <v>220</v>
      </c>
      <c r="D50">
        <v>13</v>
      </c>
      <c r="E50">
        <v>14</v>
      </c>
      <c r="F50">
        <v>0.59</v>
      </c>
      <c r="G50">
        <v>9.2899999999999991</v>
      </c>
      <c r="H50">
        <v>16</v>
      </c>
      <c r="I50">
        <v>31</v>
      </c>
      <c r="J50">
        <v>1</v>
      </c>
      <c r="K50">
        <v>0.8972</v>
      </c>
      <c r="L50">
        <v>1046.2622728100901</v>
      </c>
      <c r="M50">
        <v>32.016191257475697</v>
      </c>
      <c r="N50">
        <v>1.3392012012012</v>
      </c>
      <c r="O50">
        <v>1.4818663010461099</v>
      </c>
      <c r="P50">
        <v>13.239847348908601</v>
      </c>
      <c r="Q50">
        <v>48.149204931082103</v>
      </c>
      <c r="R50">
        <v>51.1270299578959</v>
      </c>
      <c r="S50">
        <v>1.5879203414243492E-2</v>
      </c>
      <c r="T50">
        <v>6.4738081853232099E-2</v>
      </c>
      <c r="U50">
        <v>0.13881146687198201</v>
      </c>
      <c r="V50">
        <v>8.2830956922407384E-2</v>
      </c>
    </row>
    <row r="51" spans="1:35" x14ac:dyDescent="0.25">
      <c r="A51" s="34" t="s">
        <v>82</v>
      </c>
      <c r="B51" t="s">
        <v>214</v>
      </c>
      <c r="C51" t="s">
        <v>220</v>
      </c>
      <c r="D51">
        <v>23</v>
      </c>
      <c r="E51">
        <v>23</v>
      </c>
      <c r="F51">
        <v>1.47</v>
      </c>
      <c r="G51">
        <v>8.06</v>
      </c>
      <c r="H51">
        <v>8</v>
      </c>
      <c r="I51">
        <v>39</v>
      </c>
      <c r="J51">
        <v>0</v>
      </c>
      <c r="K51">
        <v>0.86539999999999995</v>
      </c>
      <c r="L51">
        <v>1346.8650858193801</v>
      </c>
      <c r="M51">
        <v>34.617823240447699</v>
      </c>
      <c r="N51">
        <v>1.2702122122122099</v>
      </c>
      <c r="O51">
        <v>1.6819801360954401</v>
      </c>
      <c r="P51">
        <v>12.7133490970075</v>
      </c>
      <c r="Q51">
        <v>41.840558262268601</v>
      </c>
      <c r="R51">
        <v>61.5053253755176</v>
      </c>
      <c r="S51">
        <v>1.9754105155701768E-2</v>
      </c>
      <c r="T51">
        <v>0.11629184179149001</v>
      </c>
      <c r="U51">
        <v>0.11992797173813299</v>
      </c>
      <c r="V51">
        <v>8.9113829294585792E-2</v>
      </c>
    </row>
    <row r="52" spans="1:35" x14ac:dyDescent="0.25">
      <c r="A52" s="34" t="s">
        <v>83</v>
      </c>
      <c r="B52" t="s">
        <v>214</v>
      </c>
      <c r="C52" t="s">
        <v>220</v>
      </c>
      <c r="D52">
        <v>16</v>
      </c>
      <c r="E52">
        <v>24</v>
      </c>
      <c r="F52">
        <v>4.18</v>
      </c>
      <c r="G52">
        <v>12.36</v>
      </c>
      <c r="H52">
        <v>6</v>
      </c>
      <c r="I52">
        <v>47</v>
      </c>
      <c r="J52">
        <v>1</v>
      </c>
      <c r="K52">
        <v>0.89600000000000002</v>
      </c>
      <c r="L52">
        <v>1315.5729497830901</v>
      </c>
      <c r="M52">
        <v>29.564162876022699</v>
      </c>
      <c r="N52">
        <v>1.32851885218552</v>
      </c>
      <c r="O52">
        <v>1.6052836525659</v>
      </c>
      <c r="P52">
        <v>17.0207219412302</v>
      </c>
      <c r="Q52">
        <v>53.065687151449701</v>
      </c>
      <c r="R52">
        <v>70.825018997391496</v>
      </c>
      <c r="S52">
        <v>1.4762403609750851E-2</v>
      </c>
      <c r="T52">
        <v>9.8410695058436401E-2</v>
      </c>
      <c r="U52">
        <v>0.155029370053131</v>
      </c>
      <c r="V52">
        <v>7.8378754750335983E-2</v>
      </c>
    </row>
    <row r="53" spans="1:35" x14ac:dyDescent="0.25">
      <c r="A53" s="34" t="s">
        <v>84</v>
      </c>
      <c r="B53" t="s">
        <v>214</v>
      </c>
      <c r="C53" t="s">
        <v>220</v>
      </c>
      <c r="D53">
        <v>26</v>
      </c>
      <c r="E53">
        <v>29</v>
      </c>
      <c r="F53">
        <v>1.78</v>
      </c>
      <c r="G53">
        <v>7.66</v>
      </c>
      <c r="H53">
        <v>12</v>
      </c>
      <c r="I53">
        <v>35</v>
      </c>
      <c r="J53">
        <v>0</v>
      </c>
      <c r="K53">
        <v>0.86829999999999996</v>
      </c>
      <c r="W53">
        <v>6.8464085693642748E-2</v>
      </c>
      <c r="X53">
        <v>24.014649397638731</v>
      </c>
      <c r="Y53">
        <v>4.165149658282772E-2</v>
      </c>
      <c r="Z53">
        <v>0.76415366617892777</v>
      </c>
      <c r="AA53">
        <v>1.234365991559244</v>
      </c>
      <c r="AB53">
        <v>3.89171488377327</v>
      </c>
      <c r="AC53">
        <v>21.39531235804165</v>
      </c>
      <c r="AD53">
        <v>1.7817900216531379</v>
      </c>
    </row>
    <row r="54" spans="1:35" x14ac:dyDescent="0.25">
      <c r="A54" s="34" t="s">
        <v>85</v>
      </c>
      <c r="B54" t="s">
        <v>214</v>
      </c>
      <c r="C54" t="s">
        <v>220</v>
      </c>
      <c r="D54">
        <v>21</v>
      </c>
      <c r="E54">
        <v>19</v>
      </c>
      <c r="F54">
        <v>3.9</v>
      </c>
      <c r="G54">
        <v>6.97</v>
      </c>
      <c r="H54">
        <v>14</v>
      </c>
      <c r="I54">
        <v>41</v>
      </c>
      <c r="J54">
        <v>2</v>
      </c>
      <c r="K54">
        <v>0.83240000000000003</v>
      </c>
      <c r="W54">
        <v>7.9195906332498414E-2</v>
      </c>
      <c r="X54">
        <v>22.043020952555679</v>
      </c>
      <c r="Y54">
        <v>4.5405022105480079E-2</v>
      </c>
      <c r="Z54">
        <v>0.86259352035311465</v>
      </c>
      <c r="AA54">
        <v>1.1061653856632181</v>
      </c>
      <c r="AB54">
        <v>3.5831774480868521</v>
      </c>
      <c r="AC54">
        <v>20.170695775798642</v>
      </c>
      <c r="AD54">
        <v>2.388924994837081</v>
      </c>
    </row>
    <row r="55" spans="1:35" x14ac:dyDescent="0.25">
      <c r="A55" s="34" t="s">
        <v>86</v>
      </c>
      <c r="B55" t="s">
        <v>214</v>
      </c>
      <c r="C55" t="s">
        <v>220</v>
      </c>
      <c r="D55">
        <v>21</v>
      </c>
      <c r="E55">
        <v>51</v>
      </c>
      <c r="F55">
        <v>6.25</v>
      </c>
      <c r="G55">
        <v>6.64</v>
      </c>
      <c r="H55">
        <v>9</v>
      </c>
      <c r="I55">
        <v>26</v>
      </c>
      <c r="J55">
        <v>1</v>
      </c>
      <c r="K55">
        <v>0.91432000000000002</v>
      </c>
      <c r="W55">
        <v>7.0967392006731203E-2</v>
      </c>
      <c r="X55">
        <v>23.256562552956339</v>
      </c>
      <c r="Y55">
        <v>4.3016478461737152E-2</v>
      </c>
      <c r="Z55">
        <v>0.78092645759274737</v>
      </c>
      <c r="AA55">
        <v>1.1323073374378749</v>
      </c>
      <c r="AB55">
        <v>3.8907210675356119</v>
      </c>
      <c r="AC55">
        <v>20.722021143502381</v>
      </c>
      <c r="AD55">
        <v>1.9492727597256281</v>
      </c>
    </row>
    <row r="56" spans="1:35" x14ac:dyDescent="0.25">
      <c r="A56" s="34" t="s">
        <v>87</v>
      </c>
      <c r="B56" t="s">
        <v>214</v>
      </c>
      <c r="C56" t="s">
        <v>220</v>
      </c>
      <c r="D56">
        <v>11</v>
      </c>
      <c r="E56">
        <v>27</v>
      </c>
      <c r="F56">
        <v>3.41</v>
      </c>
      <c r="G56">
        <v>6.38</v>
      </c>
      <c r="H56">
        <v>6</v>
      </c>
      <c r="I56">
        <v>36</v>
      </c>
      <c r="J56">
        <v>0</v>
      </c>
      <c r="K56">
        <v>0.90210000000000001</v>
      </c>
      <c r="W56">
        <v>6.9068472395024547E-2</v>
      </c>
      <c r="X56">
        <v>23.288544019114841</v>
      </c>
      <c r="Y56">
        <v>4.2958477100511573E-2</v>
      </c>
      <c r="Z56">
        <v>0.76373702093572116</v>
      </c>
      <c r="AA56">
        <v>1.1524563640084819</v>
      </c>
      <c r="AB56">
        <v>3.8383695772595909</v>
      </c>
      <c r="AC56">
        <v>20.757111642392001</v>
      </c>
      <c r="AD56">
        <v>1.9983709626713511</v>
      </c>
    </row>
    <row r="57" spans="1:35" x14ac:dyDescent="0.25">
      <c r="A57" s="34" t="s">
        <v>88</v>
      </c>
      <c r="B57" t="s">
        <v>214</v>
      </c>
      <c r="C57" t="s">
        <v>220</v>
      </c>
      <c r="D57">
        <v>20</v>
      </c>
      <c r="E57">
        <v>41</v>
      </c>
      <c r="F57">
        <v>5</v>
      </c>
      <c r="G57">
        <v>7.42</v>
      </c>
      <c r="H57">
        <v>9</v>
      </c>
      <c r="I57">
        <v>43</v>
      </c>
      <c r="J57">
        <v>1</v>
      </c>
      <c r="K57">
        <v>0.86329</v>
      </c>
      <c r="W57">
        <v>6.3755792437523759E-2</v>
      </c>
      <c r="X57">
        <v>26.021410335781439</v>
      </c>
      <c r="Y57">
        <v>3.8467383706958007E-2</v>
      </c>
      <c r="Z57">
        <v>0.70457512956603152</v>
      </c>
      <c r="AA57">
        <v>1.204569788172011</v>
      </c>
      <c r="AB57">
        <v>4.2167918238813122</v>
      </c>
      <c r="AC57">
        <v>23.781363104565301</v>
      </c>
      <c r="AD57">
        <v>2.007395510195042</v>
      </c>
    </row>
    <row r="58" spans="1:35" x14ac:dyDescent="0.25">
      <c r="A58" s="34" t="s">
        <v>89</v>
      </c>
      <c r="B58" t="s">
        <v>214</v>
      </c>
      <c r="C58" t="s">
        <v>220</v>
      </c>
      <c r="D58">
        <v>12</v>
      </c>
      <c r="E58">
        <v>26</v>
      </c>
      <c r="F58">
        <v>7.19</v>
      </c>
      <c r="G58">
        <v>12.75</v>
      </c>
      <c r="H58">
        <v>16</v>
      </c>
      <c r="I58">
        <v>31.67</v>
      </c>
      <c r="J58">
        <v>7</v>
      </c>
      <c r="K58">
        <v>0.92739000000000005</v>
      </c>
      <c r="AE58">
        <v>1.0496030000000001</v>
      </c>
      <c r="AF58">
        <v>0.281746</v>
      </c>
      <c r="AG58">
        <v>5.0426440000000001</v>
      </c>
      <c r="AH58">
        <v>27.292100000000001</v>
      </c>
      <c r="AI58">
        <v>1.389338</v>
      </c>
    </row>
    <row r="59" spans="1:35" x14ac:dyDescent="0.25">
      <c r="A59" s="34" t="s">
        <v>90</v>
      </c>
      <c r="B59" t="s">
        <v>214</v>
      </c>
      <c r="C59" t="s">
        <v>220</v>
      </c>
      <c r="D59">
        <v>8</v>
      </c>
      <c r="E59">
        <v>36</v>
      </c>
      <c r="F59">
        <v>8.1199999999999992</v>
      </c>
      <c r="G59">
        <v>7.19</v>
      </c>
      <c r="H59">
        <v>13.75</v>
      </c>
      <c r="I59">
        <v>42.25</v>
      </c>
      <c r="J59">
        <v>0.5</v>
      </c>
      <c r="K59">
        <v>0.94347999999999999</v>
      </c>
      <c r="AE59">
        <v>0.89781699999999998</v>
      </c>
      <c r="AF59">
        <v>0.281746</v>
      </c>
      <c r="AG59">
        <v>4.1276650000000004</v>
      </c>
      <c r="AH59">
        <v>16.87415</v>
      </c>
      <c r="AI59">
        <v>1.43048</v>
      </c>
    </row>
    <row r="60" spans="1:35" x14ac:dyDescent="0.25">
      <c r="A60" s="34" t="s">
        <v>91</v>
      </c>
      <c r="B60" t="s">
        <v>214</v>
      </c>
      <c r="C60" t="s">
        <v>220</v>
      </c>
      <c r="D60">
        <v>12</v>
      </c>
      <c r="E60">
        <v>20</v>
      </c>
      <c r="F60">
        <v>11.93</v>
      </c>
      <c r="G60">
        <v>12.11</v>
      </c>
      <c r="H60">
        <v>11</v>
      </c>
      <c r="I60">
        <v>38.5</v>
      </c>
      <c r="J60">
        <v>1.25</v>
      </c>
      <c r="K60">
        <v>0.86126000000000003</v>
      </c>
      <c r="AE60">
        <v>0.95535700000000001</v>
      </c>
      <c r="AF60">
        <v>0.34920600000000002</v>
      </c>
      <c r="AG60">
        <v>3.368706</v>
      </c>
      <c r="AH60">
        <v>31.107559999999999</v>
      </c>
      <c r="AI60">
        <v>1.473522</v>
      </c>
    </row>
    <row r="61" spans="1:35" x14ac:dyDescent="0.25">
      <c r="A61" s="34" t="s">
        <v>92</v>
      </c>
      <c r="B61" t="s">
        <v>214</v>
      </c>
      <c r="C61" t="s">
        <v>220</v>
      </c>
      <c r="D61">
        <v>13</v>
      </c>
      <c r="E61">
        <v>20</v>
      </c>
      <c r="F61">
        <v>12.58</v>
      </c>
      <c r="G61">
        <v>9.5299999999999994</v>
      </c>
      <c r="H61">
        <v>12.3</v>
      </c>
      <c r="I61">
        <v>42</v>
      </c>
      <c r="J61">
        <v>0</v>
      </c>
      <c r="K61">
        <v>0.89924999999999999</v>
      </c>
      <c r="AE61">
        <v>0.83333299999999999</v>
      </c>
      <c r="AF61">
        <v>0.51893800000000001</v>
      </c>
      <c r="AG61">
        <v>3.1083080000000001</v>
      </c>
      <c r="AH61">
        <v>26.8523</v>
      </c>
      <c r="AI61">
        <v>1.5392669999999999</v>
      </c>
    </row>
    <row r="62" spans="1:35" x14ac:dyDescent="0.25">
      <c r="A62" s="21" t="s">
        <v>50</v>
      </c>
      <c r="D62">
        <f>AVERAGE(D48:D61)</f>
        <v>16.214285714285715</v>
      </c>
      <c r="E62">
        <f t="shared" ref="E62:AI62" si="3">AVERAGE(E48:E61)</f>
        <v>25.714285714285715</v>
      </c>
      <c r="F62">
        <f t="shared" si="3"/>
        <v>5.6471428571428559</v>
      </c>
      <c r="G62">
        <f t="shared" si="3"/>
        <v>8.6064285714285713</v>
      </c>
      <c r="H62">
        <f t="shared" si="3"/>
        <v>10.575000000000001</v>
      </c>
      <c r="I62">
        <f t="shared" si="3"/>
        <v>37.458571428571432</v>
      </c>
      <c r="J62">
        <f t="shared" si="3"/>
        <v>1.0535714285714286</v>
      </c>
      <c r="K62">
        <f t="shared" si="3"/>
        <v>0.88515642857142851</v>
      </c>
      <c r="L62">
        <f t="shared" si="3"/>
        <v>1128.2652240516795</v>
      </c>
      <c r="M62">
        <f t="shared" si="3"/>
        <v>33.437189124385654</v>
      </c>
      <c r="N62">
        <f t="shared" si="3"/>
        <v>1.278205739072404</v>
      </c>
      <c r="O62">
        <f t="shared" si="3"/>
        <v>1.584023903252296</v>
      </c>
      <c r="P62">
        <f t="shared" si="3"/>
        <v>12.710614681520903</v>
      </c>
      <c r="Q62">
        <f t="shared" si="3"/>
        <v>48.262763098451686</v>
      </c>
      <c r="R62">
        <f t="shared" si="3"/>
        <v>53.777829028635416</v>
      </c>
      <c r="S62">
        <f t="shared" si="3"/>
        <v>1.6595382789548772E-2</v>
      </c>
      <c r="T62">
        <f t="shared" si="3"/>
        <v>8.097084222724861E-2</v>
      </c>
      <c r="U62">
        <f t="shared" si="3"/>
        <v>0.2101342554486974</v>
      </c>
      <c r="V62">
        <f t="shared" si="3"/>
        <v>7.6633807374419091E-2</v>
      </c>
      <c r="W62">
        <f t="shared" si="3"/>
        <v>7.0290329773084137E-2</v>
      </c>
      <c r="X62">
        <f t="shared" si="3"/>
        <v>23.724837451609407</v>
      </c>
      <c r="Y62">
        <f t="shared" si="3"/>
        <v>4.2299771591502902E-2</v>
      </c>
      <c r="Z62">
        <f t="shared" si="3"/>
        <v>0.77519715892530849</v>
      </c>
      <c r="AA62">
        <f t="shared" si="3"/>
        <v>1.1659729733681659</v>
      </c>
      <c r="AB62">
        <f t="shared" si="3"/>
        <v>3.8841549601073275</v>
      </c>
      <c r="AC62">
        <f t="shared" si="3"/>
        <v>21.365300804859995</v>
      </c>
      <c r="AD62">
        <f t="shared" si="3"/>
        <v>2.0251508498164479</v>
      </c>
      <c r="AE62">
        <f t="shared" si="3"/>
        <v>0.93402750000000012</v>
      </c>
      <c r="AF62">
        <f t="shared" si="3"/>
        <v>0.35790900000000003</v>
      </c>
      <c r="AG62">
        <f t="shared" si="3"/>
        <v>3.91183075</v>
      </c>
      <c r="AH62">
        <f t="shared" si="3"/>
        <v>25.531527499999999</v>
      </c>
      <c r="AI62">
        <f t="shared" si="3"/>
        <v>1.4581517499999999</v>
      </c>
    </row>
    <row r="63" spans="1:35" x14ac:dyDescent="0.25">
      <c r="A63" s="35" t="s">
        <v>93</v>
      </c>
      <c r="B63" t="s">
        <v>215</v>
      </c>
      <c r="C63" t="s">
        <v>219</v>
      </c>
      <c r="D63">
        <v>44</v>
      </c>
      <c r="E63">
        <v>31</v>
      </c>
      <c r="F63">
        <v>0.3</v>
      </c>
      <c r="G63">
        <v>5.99</v>
      </c>
      <c r="H63">
        <v>8</v>
      </c>
      <c r="I63">
        <v>32</v>
      </c>
      <c r="J63">
        <v>1</v>
      </c>
      <c r="K63">
        <v>0.95245999999999997</v>
      </c>
      <c r="L63">
        <v>1233.6277220908501</v>
      </c>
      <c r="M63">
        <v>41.710658853024903</v>
      </c>
      <c r="N63">
        <v>1.2156426426426401</v>
      </c>
      <c r="O63">
        <v>1.3444087650201799</v>
      </c>
      <c r="P63">
        <v>5.5285496449904903</v>
      </c>
      <c r="Q63">
        <v>26.1417183987888</v>
      </c>
      <c r="R63">
        <v>27.573210445174698</v>
      </c>
      <c r="S63">
        <v>2.9674194622681539E-2</v>
      </c>
      <c r="T63">
        <v>0.119060318710509</v>
      </c>
      <c r="U63">
        <v>0.140362791208377</v>
      </c>
      <c r="V63">
        <v>15.513999999999999</v>
      </c>
      <c r="AH63">
        <v>2.9674194622681539E-2</v>
      </c>
      <c r="AI63">
        <v>3.2531582814028917E-2</v>
      </c>
    </row>
    <row r="64" spans="1:35" x14ac:dyDescent="0.25">
      <c r="A64" s="35" t="s">
        <v>94</v>
      </c>
      <c r="B64" t="s">
        <v>215</v>
      </c>
      <c r="C64" t="s">
        <v>219</v>
      </c>
      <c r="D64">
        <v>25</v>
      </c>
      <c r="E64">
        <v>24</v>
      </c>
      <c r="F64">
        <v>2.4700000000000002</v>
      </c>
      <c r="G64">
        <v>9.7899999999999991</v>
      </c>
      <c r="H64">
        <v>12</v>
      </c>
      <c r="I64">
        <v>50</v>
      </c>
      <c r="J64">
        <v>0</v>
      </c>
      <c r="K64">
        <v>0.82555999999999996</v>
      </c>
      <c r="L64">
        <v>1186.7424312916201</v>
      </c>
      <c r="M64">
        <v>34.280393528367</v>
      </c>
      <c r="N64">
        <v>1.3604214214214201</v>
      </c>
      <c r="O64">
        <v>1.3752530283571001</v>
      </c>
      <c r="P64">
        <v>7.67687292880517</v>
      </c>
      <c r="Q64">
        <v>37.9703520151634</v>
      </c>
      <c r="R64">
        <v>32.6155726074836</v>
      </c>
      <c r="S64">
        <v>3.2531582814028917E-2</v>
      </c>
      <c r="T64">
        <v>0.14579924905040201</v>
      </c>
      <c r="U64">
        <v>0.21851653527627801</v>
      </c>
      <c r="V64">
        <v>14.8184</v>
      </c>
    </row>
    <row r="65" spans="1:35" x14ac:dyDescent="0.25">
      <c r="A65" s="35" t="s">
        <v>95</v>
      </c>
      <c r="B65" t="s">
        <v>215</v>
      </c>
      <c r="C65" t="s">
        <v>219</v>
      </c>
      <c r="D65">
        <v>38</v>
      </c>
      <c r="E65">
        <v>24</v>
      </c>
      <c r="F65">
        <v>4.05</v>
      </c>
      <c r="G65">
        <v>6.25</v>
      </c>
      <c r="H65">
        <v>5</v>
      </c>
      <c r="I65">
        <v>30</v>
      </c>
      <c r="J65">
        <v>3</v>
      </c>
      <c r="K65">
        <v>0.88373000000000002</v>
      </c>
      <c r="L65">
        <v>1402.4947751627201</v>
      </c>
      <c r="M65">
        <v>31.4763096779153</v>
      </c>
      <c r="N65">
        <v>1.4441327994661299</v>
      </c>
      <c r="O65">
        <v>1.4292423694338601</v>
      </c>
      <c r="P65">
        <v>15.9497138079903</v>
      </c>
      <c r="Q65">
        <v>63.156170967560698</v>
      </c>
      <c r="R65">
        <v>42.553016054572197</v>
      </c>
      <c r="S65">
        <v>4.1711364081809747E-2</v>
      </c>
      <c r="T65">
        <v>0.157616659210565</v>
      </c>
      <c r="U65">
        <v>0.27050600271876102</v>
      </c>
      <c r="V65">
        <v>13.086600000000001</v>
      </c>
    </row>
    <row r="66" spans="1:35" x14ac:dyDescent="0.25">
      <c r="A66" s="35" t="s">
        <v>96</v>
      </c>
      <c r="B66" t="s">
        <v>215</v>
      </c>
      <c r="C66" t="s">
        <v>219</v>
      </c>
      <c r="D66">
        <v>34</v>
      </c>
      <c r="E66">
        <v>22</v>
      </c>
      <c r="F66">
        <v>0.39</v>
      </c>
      <c r="G66">
        <v>9.6999999999999993</v>
      </c>
      <c r="H66">
        <v>16</v>
      </c>
      <c r="I66">
        <v>41</v>
      </c>
      <c r="J66">
        <v>1</v>
      </c>
      <c r="K66">
        <v>0.95743</v>
      </c>
      <c r="L66">
        <v>1510.7710365523899</v>
      </c>
      <c r="M66">
        <v>44.667530822799598</v>
      </c>
      <c r="N66">
        <v>1.1837560894227599</v>
      </c>
      <c r="O66">
        <v>1.42106939042617</v>
      </c>
      <c r="P66">
        <v>7.3711471315628199</v>
      </c>
      <c r="Q66">
        <v>41.976874264654001</v>
      </c>
      <c r="R66">
        <v>31.819501999377</v>
      </c>
      <c r="S66">
        <v>3.4730443025071708E-2</v>
      </c>
      <c r="T66">
        <v>0.125576591633171</v>
      </c>
      <c r="U66">
        <v>0.24057764758905401</v>
      </c>
      <c r="V66">
        <v>14.3416</v>
      </c>
    </row>
    <row r="67" spans="1:35" x14ac:dyDescent="0.25">
      <c r="A67" s="35" t="s">
        <v>97</v>
      </c>
      <c r="B67" t="s">
        <v>215</v>
      </c>
      <c r="C67" t="s">
        <v>219</v>
      </c>
      <c r="D67">
        <v>23</v>
      </c>
      <c r="E67">
        <v>20</v>
      </c>
      <c r="F67">
        <v>10.029999999999999</v>
      </c>
      <c r="G67">
        <v>5.88</v>
      </c>
      <c r="H67">
        <v>10</v>
      </c>
      <c r="I67">
        <v>36</v>
      </c>
      <c r="J67">
        <v>0</v>
      </c>
      <c r="K67">
        <v>0.93623000000000001</v>
      </c>
      <c r="W67">
        <v>7.8545185000000003E-2</v>
      </c>
      <c r="X67">
        <v>19.420787149999999</v>
      </c>
      <c r="Y67">
        <v>5.1514675000000003E-2</v>
      </c>
      <c r="Z67">
        <v>0.89573840400000004</v>
      </c>
      <c r="AA67">
        <v>0.39508881699999998</v>
      </c>
      <c r="AB67">
        <v>3.2903191280000001</v>
      </c>
      <c r="AC67">
        <v>18.425330039999999</v>
      </c>
      <c r="AD67">
        <v>2.8552063859999999</v>
      </c>
    </row>
    <row r="68" spans="1:35" x14ac:dyDescent="0.25">
      <c r="A68" s="35" t="s">
        <v>98</v>
      </c>
      <c r="B68" t="s">
        <v>215</v>
      </c>
      <c r="C68" t="s">
        <v>219</v>
      </c>
      <c r="D68">
        <v>18</v>
      </c>
      <c r="E68">
        <v>19</v>
      </c>
      <c r="F68">
        <v>7.88</v>
      </c>
      <c r="G68">
        <v>10.45</v>
      </c>
      <c r="H68">
        <v>13</v>
      </c>
      <c r="I68">
        <v>48</v>
      </c>
      <c r="J68">
        <v>2</v>
      </c>
      <c r="K68">
        <v>0.97345999999999999</v>
      </c>
      <c r="W68">
        <v>9.2468587000000005E-2</v>
      </c>
      <c r="X68">
        <v>16.964786570000001</v>
      </c>
      <c r="Y68">
        <v>5.8967934E-2</v>
      </c>
      <c r="Z68">
        <v>1.0773397330000001</v>
      </c>
      <c r="AA68">
        <v>0.47628675100000001</v>
      </c>
      <c r="AB68">
        <v>3.003649126</v>
      </c>
      <c r="AC68">
        <v>16.229468019999999</v>
      </c>
      <c r="AD68">
        <v>4.3473149879999999</v>
      </c>
    </row>
    <row r="69" spans="1:35" x14ac:dyDescent="0.25">
      <c r="A69" s="35" t="s">
        <v>99</v>
      </c>
      <c r="B69" t="s">
        <v>215</v>
      </c>
      <c r="C69" t="s">
        <v>219</v>
      </c>
      <c r="D69">
        <v>25</v>
      </c>
      <c r="E69">
        <v>20</v>
      </c>
      <c r="F69">
        <v>13.34</v>
      </c>
      <c r="G69">
        <v>6.14</v>
      </c>
      <c r="H69">
        <v>7</v>
      </c>
      <c r="I69">
        <v>39</v>
      </c>
      <c r="J69">
        <v>3</v>
      </c>
      <c r="K69">
        <v>0.94562999999999997</v>
      </c>
      <c r="W69">
        <v>9.4987574000000005E-2</v>
      </c>
      <c r="X69">
        <v>16.876729430000001</v>
      </c>
      <c r="Y69">
        <v>5.9281329000000001E-2</v>
      </c>
      <c r="Z69">
        <v>1.0769114799999999</v>
      </c>
      <c r="AA69">
        <v>0.39749462299999999</v>
      </c>
      <c r="AB69">
        <v>2.6349377060000001</v>
      </c>
      <c r="AC69">
        <v>16.975134860000001</v>
      </c>
      <c r="AD69">
        <v>3.5776536650000001</v>
      </c>
    </row>
    <row r="70" spans="1:35" x14ac:dyDescent="0.25">
      <c r="A70" s="35" t="s">
        <v>100</v>
      </c>
      <c r="B70" t="s">
        <v>215</v>
      </c>
      <c r="C70" t="s">
        <v>219</v>
      </c>
      <c r="D70">
        <v>17</v>
      </c>
      <c r="E70">
        <v>18</v>
      </c>
      <c r="F70">
        <v>10.53</v>
      </c>
      <c r="G70">
        <v>8.7899999999999991</v>
      </c>
      <c r="H70">
        <v>17</v>
      </c>
      <c r="I70">
        <v>34</v>
      </c>
      <c r="J70">
        <v>0</v>
      </c>
      <c r="K70">
        <v>0.96335999999999999</v>
      </c>
      <c r="W70">
        <v>8.8315655000000007E-2</v>
      </c>
      <c r="X70">
        <v>17.16419398</v>
      </c>
      <c r="Y70">
        <v>5.8297056E-2</v>
      </c>
      <c r="Z70">
        <v>0.98417236100000005</v>
      </c>
      <c r="AA70">
        <v>0.49093536500000001</v>
      </c>
      <c r="AB70">
        <v>2.5125536899999998</v>
      </c>
      <c r="AC70">
        <v>17.53942327</v>
      </c>
      <c r="AD70">
        <v>3.5596257470000001</v>
      </c>
    </row>
    <row r="71" spans="1:35" x14ac:dyDescent="0.25">
      <c r="A71" s="35" t="s">
        <v>101</v>
      </c>
      <c r="B71" t="s">
        <v>215</v>
      </c>
      <c r="C71" t="s">
        <v>219</v>
      </c>
      <c r="W71">
        <v>7.9814383000000003E-2</v>
      </c>
      <c r="X71">
        <v>18.14284722</v>
      </c>
      <c r="Y71">
        <v>5.5121297E-2</v>
      </c>
      <c r="Z71">
        <v>0.94329138099999998</v>
      </c>
      <c r="AA71">
        <v>0.390914861</v>
      </c>
      <c r="AB71">
        <v>3.071889986</v>
      </c>
      <c r="AC71">
        <v>16.75127998</v>
      </c>
      <c r="AD71">
        <v>2.5791559290000001</v>
      </c>
    </row>
    <row r="72" spans="1:35" x14ac:dyDescent="0.25">
      <c r="A72" s="35" t="s">
        <v>102</v>
      </c>
      <c r="B72" t="s">
        <v>215</v>
      </c>
      <c r="C72" t="s">
        <v>219</v>
      </c>
      <c r="AE72">
        <v>0.89102599999999998</v>
      </c>
      <c r="AF72">
        <v>0.29487200000000002</v>
      </c>
      <c r="AG72">
        <v>5.3374449999999998</v>
      </c>
      <c r="AH72">
        <v>31.505269999999999</v>
      </c>
      <c r="AI72">
        <v>1.6084480000000001</v>
      </c>
    </row>
    <row r="73" spans="1:35" x14ac:dyDescent="0.25">
      <c r="A73" s="35" t="s">
        <v>103</v>
      </c>
      <c r="B73" t="s">
        <v>215</v>
      </c>
      <c r="C73" t="s">
        <v>219</v>
      </c>
      <c r="AE73">
        <v>0.73717900000000003</v>
      </c>
      <c r="AF73">
        <v>0.32585399999999998</v>
      </c>
      <c r="AG73">
        <v>5.7720440000000002</v>
      </c>
      <c r="AH73">
        <v>28.180589999999999</v>
      </c>
      <c r="AI73">
        <v>1.449325</v>
      </c>
    </row>
    <row r="74" spans="1:35" x14ac:dyDescent="0.25">
      <c r="A74" s="35" t="s">
        <v>104</v>
      </c>
      <c r="B74" t="s">
        <v>215</v>
      </c>
      <c r="C74" t="s">
        <v>219</v>
      </c>
      <c r="AE74">
        <v>0.62820500000000001</v>
      </c>
      <c r="AF74">
        <v>0.30341899999999999</v>
      </c>
      <c r="AG74">
        <v>6.5304149999999996</v>
      </c>
      <c r="AH74">
        <v>34.513289999999998</v>
      </c>
      <c r="AI74">
        <v>1.6256029999999999</v>
      </c>
    </row>
    <row r="75" spans="1:35" x14ac:dyDescent="0.25">
      <c r="A75" s="35" t="s">
        <v>105</v>
      </c>
      <c r="B75" t="s">
        <v>215</v>
      </c>
      <c r="C75" t="s">
        <v>219</v>
      </c>
      <c r="AE75">
        <v>0.61965800000000004</v>
      </c>
      <c r="AF75">
        <v>0.40598299999999998</v>
      </c>
      <c r="AG75">
        <v>5.5296919999999998</v>
      </c>
      <c r="AH75">
        <v>34.196219999999997</v>
      </c>
      <c r="AI75">
        <v>1.5013749999999999</v>
      </c>
    </row>
    <row r="76" spans="1:35" x14ac:dyDescent="0.25">
      <c r="A76" s="21" t="s">
        <v>50</v>
      </c>
      <c r="D76">
        <f>AVERAGE(D63:D75)</f>
        <v>28</v>
      </c>
      <c r="E76">
        <f t="shared" ref="E76:AI76" si="4">AVERAGE(E63:E75)</f>
        <v>22.25</v>
      </c>
      <c r="F76">
        <f t="shared" si="4"/>
        <v>6.1237499999999994</v>
      </c>
      <c r="G76">
        <f t="shared" si="4"/>
        <v>7.8737500000000002</v>
      </c>
      <c r="H76">
        <f t="shared" si="4"/>
        <v>11</v>
      </c>
      <c r="I76">
        <f t="shared" si="4"/>
        <v>38.75</v>
      </c>
      <c r="J76">
        <f t="shared" si="4"/>
        <v>1.25</v>
      </c>
      <c r="K76">
        <f t="shared" si="4"/>
        <v>0.92973250000000007</v>
      </c>
      <c r="L76">
        <f t="shared" si="4"/>
        <v>1333.408991274395</v>
      </c>
      <c r="M76">
        <f t="shared" si="4"/>
        <v>38.033723220526703</v>
      </c>
      <c r="N76">
        <f t="shared" si="4"/>
        <v>1.3009882382382374</v>
      </c>
      <c r="O76">
        <f t="shared" si="4"/>
        <v>1.3924933883093273</v>
      </c>
      <c r="P76">
        <f t="shared" si="4"/>
        <v>9.1315708783371949</v>
      </c>
      <c r="Q76">
        <f t="shared" si="4"/>
        <v>42.31127891154172</v>
      </c>
      <c r="R76">
        <f t="shared" si="4"/>
        <v>33.640325276651872</v>
      </c>
      <c r="S76">
        <f t="shared" si="4"/>
        <v>3.4661896135897978E-2</v>
      </c>
      <c r="T76">
        <f t="shared" si="4"/>
        <v>0.13701320465116176</v>
      </c>
      <c r="U76">
        <f t="shared" si="4"/>
        <v>0.21749074419811751</v>
      </c>
      <c r="V76">
        <f t="shared" si="4"/>
        <v>14.440149999999999</v>
      </c>
      <c r="W76">
        <f t="shared" si="4"/>
        <v>8.6826276800000005E-2</v>
      </c>
      <c r="X76">
        <f t="shared" si="4"/>
        <v>17.713868869999999</v>
      </c>
      <c r="Y76">
        <f t="shared" si="4"/>
        <v>5.6636458200000003E-2</v>
      </c>
      <c r="Z76">
        <f t="shared" si="4"/>
        <v>0.99549067180000006</v>
      </c>
      <c r="AA76">
        <f t="shared" si="4"/>
        <v>0.43014408339999999</v>
      </c>
      <c r="AB76">
        <f t="shared" si="4"/>
        <v>2.9026699271999998</v>
      </c>
      <c r="AC76">
        <f t="shared" si="4"/>
        <v>17.184127233999998</v>
      </c>
      <c r="AD76">
        <f t="shared" si="4"/>
        <v>3.383791343</v>
      </c>
      <c r="AE76">
        <f t="shared" si="4"/>
        <v>0.71901700000000002</v>
      </c>
      <c r="AF76">
        <f t="shared" si="4"/>
        <v>0.33253199999999999</v>
      </c>
      <c r="AG76">
        <f t="shared" si="4"/>
        <v>5.7923990000000005</v>
      </c>
      <c r="AH76">
        <f t="shared" si="4"/>
        <v>25.685008838924535</v>
      </c>
      <c r="AI76">
        <f t="shared" si="4"/>
        <v>1.2434565165628058</v>
      </c>
    </row>
    <row r="77" spans="1:35" x14ac:dyDescent="0.25">
      <c r="A77" s="34" t="s">
        <v>106</v>
      </c>
      <c r="B77" t="s">
        <v>215</v>
      </c>
      <c r="C77" t="s">
        <v>220</v>
      </c>
      <c r="D77">
        <v>9</v>
      </c>
      <c r="E77">
        <v>24</v>
      </c>
      <c r="F77">
        <v>7.69</v>
      </c>
      <c r="G77">
        <v>9.61</v>
      </c>
      <c r="H77">
        <v>7</v>
      </c>
      <c r="I77">
        <v>32</v>
      </c>
      <c r="J77">
        <v>0</v>
      </c>
      <c r="K77">
        <v>0.88753000000000004</v>
      </c>
      <c r="L77">
        <v>1157.24676038708</v>
      </c>
      <c r="M77">
        <v>48.438088328051002</v>
      </c>
      <c r="N77">
        <v>1.08846046046046</v>
      </c>
      <c r="O77">
        <v>1.32803187354456</v>
      </c>
      <c r="P77">
        <v>3.07185204402351</v>
      </c>
      <c r="Q77">
        <v>21.034379187930099</v>
      </c>
      <c r="R77">
        <v>21.8892280188794</v>
      </c>
      <c r="S77">
        <v>1.9400000000000001E-2</v>
      </c>
      <c r="T77">
        <v>0.13127602565285099</v>
      </c>
      <c r="U77">
        <v>0.16945446024135399</v>
      </c>
      <c r="V77">
        <v>19.206399999999999</v>
      </c>
    </row>
    <row r="78" spans="1:35" x14ac:dyDescent="0.25">
      <c r="A78" s="34" t="s">
        <v>107</v>
      </c>
      <c r="B78" t="s">
        <v>215</v>
      </c>
      <c r="C78" t="s">
        <v>220</v>
      </c>
      <c r="D78">
        <v>15</v>
      </c>
      <c r="E78">
        <v>36</v>
      </c>
      <c r="F78">
        <v>0.34</v>
      </c>
      <c r="G78">
        <v>8.4499999999999993</v>
      </c>
      <c r="H78">
        <v>13</v>
      </c>
      <c r="I78">
        <v>50</v>
      </c>
      <c r="J78">
        <v>1</v>
      </c>
      <c r="K78">
        <v>0.93425000000000002</v>
      </c>
      <c r="L78">
        <v>1040.2069033429</v>
      </c>
      <c r="M78">
        <v>42.277734536574499</v>
      </c>
      <c r="N78">
        <v>1.2652452452452501</v>
      </c>
      <c r="O78">
        <v>1.2562714726023601</v>
      </c>
      <c r="P78">
        <v>5.2321373865313401</v>
      </c>
      <c r="Q78">
        <v>27.900061079430198</v>
      </c>
      <c r="R78">
        <v>22.601964314775799</v>
      </c>
      <c r="S78">
        <v>3.6700000000000003E-2</v>
      </c>
      <c r="T78">
        <v>8.2370302049281405E-2</v>
      </c>
      <c r="U78">
        <v>0.152170889516969</v>
      </c>
      <c r="V78">
        <v>13.943199999999999</v>
      </c>
    </row>
    <row r="79" spans="1:35" x14ac:dyDescent="0.25">
      <c r="A79" s="34" t="s">
        <v>108</v>
      </c>
      <c r="B79" t="s">
        <v>215</v>
      </c>
      <c r="C79" t="s">
        <v>220</v>
      </c>
      <c r="D79">
        <v>21</v>
      </c>
      <c r="E79">
        <v>42</v>
      </c>
      <c r="F79">
        <v>6.3</v>
      </c>
      <c r="G79">
        <v>7.53</v>
      </c>
      <c r="H79">
        <v>16</v>
      </c>
      <c r="I79">
        <v>38</v>
      </c>
      <c r="J79">
        <v>3</v>
      </c>
      <c r="K79">
        <v>0.92747999999999997</v>
      </c>
      <c r="L79">
        <v>889.08082231333401</v>
      </c>
      <c r="M79">
        <v>39.5316361212723</v>
      </c>
      <c r="N79">
        <v>1.2446006006006001</v>
      </c>
      <c r="O79">
        <v>1.32663705841247</v>
      </c>
      <c r="P79">
        <v>4.8520446199723404</v>
      </c>
      <c r="Q79">
        <v>27.222445203956401</v>
      </c>
      <c r="R79">
        <v>20.488414976253399</v>
      </c>
      <c r="S79">
        <v>4.1399999999999999E-2</v>
      </c>
      <c r="T79">
        <v>7.7855514274231499E-2</v>
      </c>
      <c r="U79">
        <v>0.166424651804324</v>
      </c>
      <c r="V79">
        <v>13.1378</v>
      </c>
    </row>
    <row r="80" spans="1:35" x14ac:dyDescent="0.25">
      <c r="A80" s="34" t="s">
        <v>109</v>
      </c>
      <c r="B80" t="s">
        <v>215</v>
      </c>
      <c r="C80" t="s">
        <v>220</v>
      </c>
      <c r="D80">
        <v>21</v>
      </c>
      <c r="E80">
        <v>42</v>
      </c>
      <c r="F80">
        <v>6.77</v>
      </c>
      <c r="G80">
        <v>6.66</v>
      </c>
      <c r="H80">
        <v>5</v>
      </c>
      <c r="I80">
        <v>44</v>
      </c>
      <c r="J80">
        <v>0</v>
      </c>
      <c r="K80">
        <v>0.86324000000000001</v>
      </c>
      <c r="L80">
        <v>1332.2729154926401</v>
      </c>
      <c r="M80">
        <v>31.5277548073778</v>
      </c>
      <c r="N80">
        <v>1.4212899566232899</v>
      </c>
      <c r="O80">
        <v>1.52993473942231</v>
      </c>
      <c r="P80">
        <v>13.2958602516533</v>
      </c>
      <c r="Q80">
        <v>41.497271347818803</v>
      </c>
      <c r="R80">
        <v>40.253205485126699</v>
      </c>
      <c r="S80">
        <v>4.99E-2</v>
      </c>
      <c r="T80">
        <v>0.13117044104950101</v>
      </c>
      <c r="U80">
        <v>0.20892208921861999</v>
      </c>
      <c r="V80">
        <v>11.96</v>
      </c>
    </row>
    <row r="81" spans="1:35" x14ac:dyDescent="0.25">
      <c r="A81" s="34" t="s">
        <v>110</v>
      </c>
      <c r="B81" t="s">
        <v>215</v>
      </c>
      <c r="C81" t="s">
        <v>220</v>
      </c>
      <c r="D81">
        <v>13</v>
      </c>
      <c r="E81">
        <v>22</v>
      </c>
      <c r="F81">
        <v>3.82</v>
      </c>
      <c r="G81">
        <v>9.75</v>
      </c>
      <c r="H81">
        <v>10</v>
      </c>
      <c r="I81">
        <v>51</v>
      </c>
      <c r="J81">
        <v>2</v>
      </c>
      <c r="K81">
        <v>0.87892999999999999</v>
      </c>
      <c r="W81">
        <v>6.4969865000000002E-2</v>
      </c>
      <c r="X81">
        <v>23.027624289999999</v>
      </c>
      <c r="Y81">
        <v>4.3436705999999999E-2</v>
      </c>
      <c r="Z81">
        <v>0.72218149300000001</v>
      </c>
      <c r="AA81">
        <v>0.443991886</v>
      </c>
      <c r="AB81">
        <v>3.4139003809999999</v>
      </c>
      <c r="AC81">
        <v>22.399861040000001</v>
      </c>
      <c r="AD81">
        <v>2.1057467289999998</v>
      </c>
    </row>
    <row r="82" spans="1:35" x14ac:dyDescent="0.25">
      <c r="A82" s="34" t="s">
        <v>111</v>
      </c>
      <c r="B82" t="s">
        <v>215</v>
      </c>
      <c r="C82" t="s">
        <v>220</v>
      </c>
      <c r="D82">
        <v>11</v>
      </c>
      <c r="E82">
        <v>25</v>
      </c>
      <c r="F82">
        <v>3.1</v>
      </c>
      <c r="G82">
        <v>9.74</v>
      </c>
      <c r="H82">
        <v>15</v>
      </c>
      <c r="I82">
        <v>33</v>
      </c>
      <c r="J82">
        <v>1</v>
      </c>
      <c r="K82">
        <v>0.93852000000000002</v>
      </c>
      <c r="W82">
        <v>8.9677116000000001E-2</v>
      </c>
      <c r="X82">
        <v>17.564648989999998</v>
      </c>
      <c r="Y82">
        <v>5.6932845000000003E-2</v>
      </c>
      <c r="Z82">
        <v>0.99920486399999997</v>
      </c>
      <c r="AA82">
        <v>0.43209104700000001</v>
      </c>
      <c r="AB82">
        <v>3.084341319</v>
      </c>
      <c r="AC82">
        <v>16.117340649999999</v>
      </c>
      <c r="AD82">
        <v>2.8043247670000002</v>
      </c>
    </row>
    <row r="83" spans="1:35" x14ac:dyDescent="0.25">
      <c r="A83" s="34" t="s">
        <v>112</v>
      </c>
      <c r="B83" t="s">
        <v>215</v>
      </c>
      <c r="C83" t="s">
        <v>220</v>
      </c>
      <c r="D83">
        <v>15</v>
      </c>
      <c r="E83">
        <v>23</v>
      </c>
      <c r="F83">
        <v>6.09</v>
      </c>
      <c r="G83">
        <v>9.3699999999999992</v>
      </c>
      <c r="H83">
        <v>9</v>
      </c>
      <c r="I83">
        <v>46</v>
      </c>
      <c r="J83">
        <v>0</v>
      </c>
      <c r="K83">
        <v>0.83499999999999996</v>
      </c>
      <c r="W83">
        <v>7.9193768999999997E-2</v>
      </c>
      <c r="X83">
        <v>20.042233199999998</v>
      </c>
      <c r="Y83">
        <v>4.9894745999999997E-2</v>
      </c>
      <c r="Z83">
        <v>0.87915017100000004</v>
      </c>
      <c r="AA83">
        <v>0.41755842999999998</v>
      </c>
      <c r="AB83">
        <v>3.3017855950000001</v>
      </c>
      <c r="AC83">
        <v>18.758202499999999</v>
      </c>
      <c r="AD83">
        <v>2.147843419</v>
      </c>
    </row>
    <row r="84" spans="1:35" x14ac:dyDescent="0.25">
      <c r="A84" s="34" t="s">
        <v>113</v>
      </c>
      <c r="B84" t="s">
        <v>215</v>
      </c>
      <c r="C84" t="s">
        <v>220</v>
      </c>
      <c r="D84">
        <v>18</v>
      </c>
      <c r="E84">
        <v>34</v>
      </c>
      <c r="F84">
        <v>8.56</v>
      </c>
      <c r="G84">
        <v>8.59</v>
      </c>
      <c r="H84">
        <v>11</v>
      </c>
      <c r="I84">
        <v>30</v>
      </c>
      <c r="J84">
        <v>3</v>
      </c>
      <c r="K84">
        <v>0.95320000000000005</v>
      </c>
      <c r="W84">
        <v>7.5856515999999999E-2</v>
      </c>
      <c r="X84">
        <v>20.868505379999998</v>
      </c>
      <c r="Y84">
        <v>4.7925269999999999E-2</v>
      </c>
      <c r="Z84">
        <v>0.84690195499999998</v>
      </c>
      <c r="AA84">
        <v>0.43070075400000002</v>
      </c>
      <c r="AB84">
        <v>3.369270513</v>
      </c>
      <c r="AC84">
        <v>20.19090435</v>
      </c>
      <c r="AD84">
        <v>2.3392425729999999</v>
      </c>
    </row>
    <row r="85" spans="1:35" x14ac:dyDescent="0.25">
      <c r="A85" s="34" t="s">
        <v>114</v>
      </c>
      <c r="B85" t="s">
        <v>215</v>
      </c>
      <c r="C85" t="s">
        <v>220</v>
      </c>
      <c r="D85">
        <v>36</v>
      </c>
      <c r="E85">
        <v>50</v>
      </c>
      <c r="F85">
        <v>2.0499999999999998</v>
      </c>
      <c r="G85">
        <v>5.25</v>
      </c>
      <c r="H85">
        <v>15</v>
      </c>
      <c r="I85">
        <v>48</v>
      </c>
      <c r="J85">
        <v>2</v>
      </c>
      <c r="K85">
        <v>0.92354999999999998</v>
      </c>
      <c r="W85">
        <v>8.7314013999999995E-2</v>
      </c>
      <c r="X85">
        <v>21.201015550000001</v>
      </c>
      <c r="Y85">
        <v>4.7191858000000003E-2</v>
      </c>
      <c r="Z85">
        <v>0.91280762800000004</v>
      </c>
      <c r="AA85">
        <v>0.444926498</v>
      </c>
      <c r="AB85">
        <v>4.0710726060000004</v>
      </c>
      <c r="AC85">
        <v>19.921456460000002</v>
      </c>
      <c r="AD85">
        <v>2.016971576</v>
      </c>
    </row>
    <row r="86" spans="1:35" x14ac:dyDescent="0.25">
      <c r="A86" s="34" t="s">
        <v>115</v>
      </c>
      <c r="B86" t="s">
        <v>215</v>
      </c>
      <c r="C86" t="s">
        <v>220</v>
      </c>
      <c r="D86">
        <v>40</v>
      </c>
      <c r="E86">
        <v>52</v>
      </c>
      <c r="F86">
        <v>3.05</v>
      </c>
      <c r="G86">
        <v>4.82</v>
      </c>
      <c r="H86">
        <v>21</v>
      </c>
      <c r="I86">
        <v>39</v>
      </c>
      <c r="J86">
        <v>1</v>
      </c>
      <c r="K86">
        <v>0.92342000000000002</v>
      </c>
      <c r="AE86">
        <v>1.184183</v>
      </c>
      <c r="AF86">
        <v>0.29914499999999999</v>
      </c>
      <c r="AG86">
        <v>4.1827750000000004</v>
      </c>
      <c r="AH86">
        <v>32.296869999999998</v>
      </c>
      <c r="AI86">
        <v>1.8051809999999999</v>
      </c>
    </row>
    <row r="87" spans="1:35" x14ac:dyDescent="0.25">
      <c r="A87" s="34" t="s">
        <v>116</v>
      </c>
      <c r="B87" t="s">
        <v>215</v>
      </c>
      <c r="C87" t="s">
        <v>220</v>
      </c>
      <c r="D87">
        <v>8</v>
      </c>
      <c r="E87">
        <v>18</v>
      </c>
      <c r="F87">
        <v>4.05</v>
      </c>
      <c r="G87">
        <v>10.84</v>
      </c>
      <c r="H87">
        <v>22</v>
      </c>
      <c r="I87">
        <v>56</v>
      </c>
      <c r="J87">
        <v>1</v>
      </c>
      <c r="K87">
        <v>0.97099999999999997</v>
      </c>
      <c r="AE87">
        <v>1.3782049999999999</v>
      </c>
      <c r="AF87">
        <v>0.31196600000000002</v>
      </c>
      <c r="AG87">
        <v>5.2533000000000003</v>
      </c>
      <c r="AH87">
        <v>30.87201</v>
      </c>
      <c r="AI87">
        <v>1.6308290000000001</v>
      </c>
    </row>
    <row r="88" spans="1:35" x14ac:dyDescent="0.25">
      <c r="A88" s="34" t="s">
        <v>117</v>
      </c>
      <c r="B88" t="s">
        <v>215</v>
      </c>
      <c r="C88" t="s">
        <v>220</v>
      </c>
      <c r="D88">
        <v>8</v>
      </c>
      <c r="E88">
        <v>16</v>
      </c>
      <c r="F88">
        <v>3.88</v>
      </c>
      <c r="G88">
        <v>10.29</v>
      </c>
      <c r="H88">
        <v>6</v>
      </c>
      <c r="I88">
        <v>20</v>
      </c>
      <c r="J88">
        <v>4</v>
      </c>
      <c r="K88">
        <v>0.94832000000000005</v>
      </c>
      <c r="AE88">
        <v>0.82421</v>
      </c>
      <c r="AF88">
        <v>0.35284300000000002</v>
      </c>
      <c r="AG88">
        <v>4.7456740000000002</v>
      </c>
      <c r="AH88">
        <v>38.787889999999997</v>
      </c>
      <c r="AI88">
        <v>1.614228</v>
      </c>
    </row>
    <row r="89" spans="1:35" x14ac:dyDescent="0.25">
      <c r="A89" s="34" t="s">
        <v>118</v>
      </c>
      <c r="B89" t="s">
        <v>215</v>
      </c>
      <c r="C89" t="s">
        <v>220</v>
      </c>
      <c r="D89">
        <v>10</v>
      </c>
      <c r="E89">
        <v>23</v>
      </c>
      <c r="F89">
        <v>6.01</v>
      </c>
      <c r="G89">
        <v>7.74</v>
      </c>
      <c r="H89">
        <v>15</v>
      </c>
      <c r="I89">
        <v>35</v>
      </c>
      <c r="J89">
        <v>1</v>
      </c>
      <c r="K89">
        <v>0.92342999999999997</v>
      </c>
      <c r="AE89">
        <v>0.80341899999999999</v>
      </c>
      <c r="AF89">
        <v>0.32051299999999999</v>
      </c>
      <c r="AG89">
        <v>3.64689</v>
      </c>
      <c r="AH89">
        <v>34.51332</v>
      </c>
      <c r="AI89">
        <v>1.7657449999999999</v>
      </c>
    </row>
    <row r="90" spans="1:35" x14ac:dyDescent="0.25">
      <c r="A90" s="34" t="s">
        <v>119</v>
      </c>
      <c r="B90" t="s">
        <v>215</v>
      </c>
      <c r="C90" t="s">
        <v>220</v>
      </c>
      <c r="D90">
        <v>9</v>
      </c>
      <c r="E90">
        <v>21</v>
      </c>
      <c r="F90">
        <v>5.73</v>
      </c>
      <c r="G90">
        <v>11.86</v>
      </c>
      <c r="H90">
        <v>20</v>
      </c>
      <c r="I90">
        <v>59</v>
      </c>
      <c r="J90">
        <v>0</v>
      </c>
      <c r="K90">
        <v>0.93354999999999999</v>
      </c>
    </row>
    <row r="91" spans="1:35" x14ac:dyDescent="0.25">
      <c r="A91" s="34" t="s">
        <v>120</v>
      </c>
      <c r="B91" t="s">
        <v>215</v>
      </c>
      <c r="C91" t="s">
        <v>220</v>
      </c>
      <c r="D91">
        <v>12</v>
      </c>
      <c r="E91">
        <v>18</v>
      </c>
      <c r="F91">
        <v>2.88</v>
      </c>
      <c r="G91">
        <v>8.23</v>
      </c>
      <c r="H91">
        <v>16</v>
      </c>
      <c r="I91">
        <v>43</v>
      </c>
      <c r="J91">
        <v>0</v>
      </c>
      <c r="K91">
        <v>0.92235</v>
      </c>
    </row>
    <row r="92" spans="1:35" x14ac:dyDescent="0.25">
      <c r="A92" s="34" t="s">
        <v>121</v>
      </c>
      <c r="B92" t="s">
        <v>215</v>
      </c>
      <c r="C92" t="s">
        <v>220</v>
      </c>
      <c r="D92">
        <v>9</v>
      </c>
      <c r="E92">
        <v>18</v>
      </c>
      <c r="F92">
        <v>4.51</v>
      </c>
      <c r="G92">
        <v>9.7899999999999991</v>
      </c>
      <c r="H92">
        <v>16</v>
      </c>
      <c r="I92">
        <v>43</v>
      </c>
      <c r="J92">
        <v>0</v>
      </c>
      <c r="K92">
        <v>0.92732000000000003</v>
      </c>
    </row>
    <row r="93" spans="1:35" x14ac:dyDescent="0.25">
      <c r="A93" s="21" t="s">
        <v>50</v>
      </c>
      <c r="D93">
        <f>AVERAGE(D77:D92)</f>
        <v>15.9375</v>
      </c>
      <c r="E93">
        <f t="shared" ref="E93:AI93" si="5">AVERAGE(E77:E92)</f>
        <v>29</v>
      </c>
      <c r="F93">
        <f t="shared" si="5"/>
        <v>4.6768749999999999</v>
      </c>
      <c r="G93">
        <f t="shared" si="5"/>
        <v>8.6574999999999989</v>
      </c>
      <c r="H93">
        <f t="shared" si="5"/>
        <v>13.5625</v>
      </c>
      <c r="I93">
        <f t="shared" si="5"/>
        <v>41.6875</v>
      </c>
      <c r="J93">
        <f t="shared" si="5"/>
        <v>1.1875</v>
      </c>
      <c r="K93">
        <f t="shared" si="5"/>
        <v>0.91819312500000005</v>
      </c>
      <c r="L93">
        <f t="shared" si="5"/>
        <v>1104.7018503839886</v>
      </c>
      <c r="M93">
        <f t="shared" si="5"/>
        <v>40.443803448318896</v>
      </c>
      <c r="N93">
        <f t="shared" si="5"/>
        <v>1.2548990657324</v>
      </c>
      <c r="O93">
        <f t="shared" si="5"/>
        <v>1.3602187859954251</v>
      </c>
      <c r="P93">
        <f t="shared" si="5"/>
        <v>6.6129735755451229</v>
      </c>
      <c r="Q93">
        <f t="shared" si="5"/>
        <v>29.413539204783874</v>
      </c>
      <c r="R93">
        <f t="shared" si="5"/>
        <v>26.308203198758825</v>
      </c>
      <c r="S93">
        <f t="shared" si="5"/>
        <v>3.6850000000000001E-2</v>
      </c>
      <c r="T93">
        <f t="shared" si="5"/>
        <v>0.10566807075646623</v>
      </c>
      <c r="U93">
        <f t="shared" si="5"/>
        <v>0.17424302269531675</v>
      </c>
      <c r="V93">
        <f t="shared" si="5"/>
        <v>14.56185</v>
      </c>
      <c r="W93">
        <f t="shared" si="5"/>
        <v>7.9402256000000004E-2</v>
      </c>
      <c r="X93">
        <f t="shared" si="5"/>
        <v>20.540805482000003</v>
      </c>
      <c r="Y93">
        <f t="shared" si="5"/>
        <v>4.9076284999999997E-2</v>
      </c>
      <c r="Z93">
        <f t="shared" si="5"/>
        <v>0.87204922220000003</v>
      </c>
      <c r="AA93">
        <f t="shared" si="5"/>
        <v>0.43385372300000002</v>
      </c>
      <c r="AB93">
        <f t="shared" si="5"/>
        <v>3.4480740828000003</v>
      </c>
      <c r="AC93">
        <f t="shared" si="5"/>
        <v>19.477553</v>
      </c>
      <c r="AD93">
        <f t="shared" si="5"/>
        <v>2.2828258128000001</v>
      </c>
      <c r="AE93">
        <f t="shared" si="5"/>
        <v>1.04750425</v>
      </c>
      <c r="AF93">
        <f t="shared" si="5"/>
        <v>0.32111675000000001</v>
      </c>
      <c r="AG93">
        <f t="shared" si="5"/>
        <v>4.4571597499999998</v>
      </c>
      <c r="AH93">
        <f t="shared" si="5"/>
        <v>34.1175225</v>
      </c>
      <c r="AI93">
        <f t="shared" si="5"/>
        <v>1.70399575</v>
      </c>
    </row>
    <row r="94" spans="1:35" x14ac:dyDescent="0.25">
      <c r="A94" s="35" t="s">
        <v>122</v>
      </c>
      <c r="B94" t="s">
        <v>216</v>
      </c>
      <c r="C94" t="s">
        <v>219</v>
      </c>
      <c r="D94">
        <v>22</v>
      </c>
      <c r="E94">
        <v>14</v>
      </c>
      <c r="F94">
        <v>3.4</v>
      </c>
      <c r="G94">
        <v>4.26</v>
      </c>
      <c r="H94">
        <v>9</v>
      </c>
      <c r="I94">
        <v>35</v>
      </c>
      <c r="J94">
        <v>1</v>
      </c>
      <c r="K94">
        <v>0.95345000000000002</v>
      </c>
      <c r="L94">
        <v>1315.50584429745</v>
      </c>
      <c r="M94">
        <v>32.4284606003595</v>
      </c>
      <c r="N94">
        <v>1.18625191858525</v>
      </c>
      <c r="O94">
        <v>1.44329658270602</v>
      </c>
      <c r="P94">
        <v>8.4150619476335002</v>
      </c>
      <c r="Q94">
        <v>31.277973666634999</v>
      </c>
      <c r="R94">
        <v>38.562832984497803</v>
      </c>
      <c r="S94">
        <v>3.1321788256630761E-2</v>
      </c>
      <c r="T94">
        <v>0.14705926185093601</v>
      </c>
      <c r="U94">
        <v>0.18834854880339799</v>
      </c>
      <c r="V94">
        <v>15.101900000000001</v>
      </c>
    </row>
    <row r="95" spans="1:35" x14ac:dyDescent="0.25">
      <c r="A95" s="35" t="s">
        <v>123</v>
      </c>
      <c r="B95" t="s">
        <v>216</v>
      </c>
      <c r="C95" t="s">
        <v>219</v>
      </c>
      <c r="D95">
        <v>20</v>
      </c>
      <c r="E95">
        <v>24</v>
      </c>
      <c r="F95">
        <v>4.17</v>
      </c>
      <c r="G95">
        <v>9.2899999999999991</v>
      </c>
      <c r="H95">
        <v>14</v>
      </c>
      <c r="I95">
        <v>48</v>
      </c>
      <c r="J95">
        <v>0</v>
      </c>
      <c r="K95">
        <v>0.86822999999999995</v>
      </c>
      <c r="L95">
        <v>1070.22969576066</v>
      </c>
      <c r="M95">
        <v>30.9173242740864</v>
      </c>
      <c r="N95">
        <v>1.33168068068068</v>
      </c>
      <c r="O95">
        <v>1.3873237937368801</v>
      </c>
      <c r="P95">
        <v>9.3238050007976003</v>
      </c>
      <c r="Q95">
        <v>42.215390899647403</v>
      </c>
      <c r="R95">
        <v>32.612723609319097</v>
      </c>
      <c r="S95">
        <v>4.2951510463685658E-2</v>
      </c>
      <c r="T95">
        <v>0.11212850982830699</v>
      </c>
      <c r="U95">
        <v>0.26322729718676702</v>
      </c>
      <c r="V95">
        <v>12.8963</v>
      </c>
    </row>
    <row r="96" spans="1:35" x14ac:dyDescent="0.25">
      <c r="A96" s="35" t="s">
        <v>124</v>
      </c>
      <c r="B96" t="s">
        <v>216</v>
      </c>
      <c r="C96" t="s">
        <v>219</v>
      </c>
      <c r="D96">
        <v>14</v>
      </c>
      <c r="E96">
        <v>36</v>
      </c>
      <c r="F96">
        <v>4.68</v>
      </c>
      <c r="G96">
        <v>8.86</v>
      </c>
      <c r="H96">
        <v>6</v>
      </c>
      <c r="I96">
        <v>50</v>
      </c>
      <c r="J96">
        <v>3</v>
      </c>
      <c r="K96">
        <v>0.92554999999999998</v>
      </c>
      <c r="L96">
        <v>1036.6054490763499</v>
      </c>
      <c r="M96">
        <v>32.780445719217802</v>
      </c>
      <c r="N96">
        <v>1.15981981981982</v>
      </c>
      <c r="O96">
        <v>1.41976424885215</v>
      </c>
      <c r="P96">
        <v>5.9746831016081599</v>
      </c>
      <c r="Q96">
        <v>29.5920599345847</v>
      </c>
      <c r="R96">
        <v>29.619877403089799</v>
      </c>
      <c r="S96">
        <v>3.1834656531340738E-2</v>
      </c>
      <c r="T96">
        <v>0.12451321161738001</v>
      </c>
      <c r="U96">
        <v>0.19714300463286</v>
      </c>
      <c r="V96">
        <v>14.979720873975641</v>
      </c>
    </row>
    <row r="97" spans="1:35" x14ac:dyDescent="0.25">
      <c r="A97" s="35" t="s">
        <v>125</v>
      </c>
      <c r="B97" t="s">
        <v>216</v>
      </c>
      <c r="C97" t="s">
        <v>219</v>
      </c>
      <c r="D97">
        <v>25</v>
      </c>
      <c r="E97">
        <v>27</v>
      </c>
      <c r="F97">
        <v>5.31</v>
      </c>
      <c r="G97">
        <v>8.69</v>
      </c>
      <c r="H97">
        <v>12</v>
      </c>
      <c r="I97">
        <v>31</v>
      </c>
      <c r="J97">
        <v>2</v>
      </c>
      <c r="K97">
        <v>0.93452999999999997</v>
      </c>
      <c r="L97">
        <v>1409.70042668673</v>
      </c>
      <c r="M97">
        <v>47.133571219390703</v>
      </c>
      <c r="N97">
        <v>1.4393473473473499</v>
      </c>
      <c r="O97">
        <v>1.4598891855090601</v>
      </c>
      <c r="P97">
        <v>8.1041961933481108</v>
      </c>
      <c r="Q97">
        <v>27.438272638673599</v>
      </c>
      <c r="R97">
        <v>27.9059469471296</v>
      </c>
      <c r="S97">
        <v>3.0095303329114399E-2</v>
      </c>
      <c r="T97">
        <v>0.126322980256344</v>
      </c>
      <c r="U97">
        <v>0.13388027464670099</v>
      </c>
      <c r="V97">
        <v>15.406516123967769</v>
      </c>
    </row>
    <row r="98" spans="1:35" x14ac:dyDescent="0.25">
      <c r="A98" s="35" t="s">
        <v>126</v>
      </c>
      <c r="B98" t="s">
        <v>216</v>
      </c>
      <c r="C98" t="s">
        <v>219</v>
      </c>
      <c r="D98">
        <v>21</v>
      </c>
      <c r="E98">
        <v>43</v>
      </c>
      <c r="F98">
        <v>8.81</v>
      </c>
      <c r="G98">
        <v>8.1</v>
      </c>
      <c r="H98">
        <v>18</v>
      </c>
      <c r="I98">
        <v>37</v>
      </c>
      <c r="J98">
        <v>0</v>
      </c>
      <c r="K98">
        <v>0.92242000000000002</v>
      </c>
      <c r="L98">
        <v>1431.6315690450199</v>
      </c>
      <c r="M98">
        <v>42.0674125875491</v>
      </c>
      <c r="N98">
        <v>1.28955555555556</v>
      </c>
      <c r="O98">
        <v>1.5493855712194</v>
      </c>
      <c r="P98">
        <v>8.3092306566059602</v>
      </c>
      <c r="Q98">
        <v>26.287975185500201</v>
      </c>
      <c r="R98">
        <v>32.028774130858103</v>
      </c>
      <c r="S98">
        <v>3.076724340938276E-2</v>
      </c>
      <c r="T98">
        <v>0.14428180111050901</v>
      </c>
      <c r="U98">
        <v>0.17890173509464399</v>
      </c>
      <c r="V98">
        <v>15.237352393095289</v>
      </c>
    </row>
    <row r="99" spans="1:35" x14ac:dyDescent="0.25">
      <c r="A99" s="35" t="s">
        <v>127</v>
      </c>
      <c r="B99" t="s">
        <v>216</v>
      </c>
      <c r="C99" t="s">
        <v>219</v>
      </c>
      <c r="D99">
        <v>26</v>
      </c>
      <c r="E99">
        <v>35</v>
      </c>
      <c r="F99">
        <v>4.21</v>
      </c>
      <c r="G99">
        <v>6.66</v>
      </c>
      <c r="H99">
        <v>7</v>
      </c>
      <c r="I99">
        <v>45</v>
      </c>
      <c r="J99">
        <v>1</v>
      </c>
      <c r="K99">
        <v>0.91344999999999998</v>
      </c>
      <c r="L99">
        <v>1343.38171675787</v>
      </c>
      <c r="M99">
        <v>59.686819934522603</v>
      </c>
      <c r="N99">
        <v>1.2126459793126501</v>
      </c>
      <c r="O99">
        <v>1.34288473020944</v>
      </c>
      <c r="P99">
        <v>3.61529749556678</v>
      </c>
      <c r="Q99">
        <v>13.5124442844463</v>
      </c>
      <c r="R99">
        <v>20.5052598273214</v>
      </c>
      <c r="S99">
        <v>2.04160731491154E-2</v>
      </c>
      <c r="T99">
        <v>0.106581452323651</v>
      </c>
      <c r="U99">
        <v>7.8135540496167194E-2</v>
      </c>
      <c r="V99">
        <v>18.7054301080546</v>
      </c>
    </row>
    <row r="100" spans="1:35" x14ac:dyDescent="0.25">
      <c r="A100" s="35" t="s">
        <v>128</v>
      </c>
      <c r="B100" t="s">
        <v>216</v>
      </c>
      <c r="C100" t="s">
        <v>219</v>
      </c>
      <c r="D100">
        <v>18</v>
      </c>
      <c r="E100">
        <v>28</v>
      </c>
      <c r="F100">
        <v>1.74</v>
      </c>
      <c r="G100">
        <v>8.36</v>
      </c>
      <c r="H100">
        <v>11</v>
      </c>
      <c r="I100">
        <v>40</v>
      </c>
      <c r="J100">
        <v>3</v>
      </c>
      <c r="K100">
        <v>0.88522999999999996</v>
      </c>
      <c r="L100">
        <v>1443.3159204261301</v>
      </c>
      <c r="M100">
        <v>48.4143913842193</v>
      </c>
      <c r="N100">
        <v>1.2891801801801801</v>
      </c>
      <c r="O100">
        <v>1.5216441884048799</v>
      </c>
      <c r="P100">
        <v>7.0819775826359601</v>
      </c>
      <c r="Q100">
        <v>21.2782239672046</v>
      </c>
      <c r="R100">
        <v>27.8090271928919</v>
      </c>
      <c r="S100">
        <v>3.2988127105904388E-2</v>
      </c>
      <c r="T100">
        <v>0.11708770853512999</v>
      </c>
      <c r="U100">
        <v>0.103158169666654</v>
      </c>
      <c r="V100">
        <v>14.71549839293483</v>
      </c>
    </row>
    <row r="101" spans="1:35" x14ac:dyDescent="0.25">
      <c r="A101" s="35" t="s">
        <v>129</v>
      </c>
      <c r="B101" t="s">
        <v>216</v>
      </c>
      <c r="C101" t="s">
        <v>219</v>
      </c>
      <c r="D101">
        <v>21</v>
      </c>
      <c r="E101">
        <v>30</v>
      </c>
      <c r="F101">
        <v>6.87</v>
      </c>
      <c r="G101">
        <v>5.56</v>
      </c>
      <c r="H101">
        <v>16</v>
      </c>
      <c r="I101">
        <v>52</v>
      </c>
      <c r="J101">
        <v>0</v>
      </c>
      <c r="K101">
        <v>0.95828000000000002</v>
      </c>
      <c r="W101">
        <v>6.4174316566174547E-2</v>
      </c>
      <c r="X101">
        <v>23.899838535733931</v>
      </c>
      <c r="Y101">
        <v>4.1845485423783912E-2</v>
      </c>
      <c r="Z101">
        <v>0.81124864667358232</v>
      </c>
      <c r="AA101">
        <v>1.2299339669152669</v>
      </c>
      <c r="AB101">
        <v>4.7216375571390632</v>
      </c>
      <c r="AC101">
        <v>22.609895871409481</v>
      </c>
      <c r="AD101">
        <v>1.8817020370427191</v>
      </c>
    </row>
    <row r="102" spans="1:35" x14ac:dyDescent="0.25">
      <c r="A102" s="35" t="s">
        <v>130</v>
      </c>
      <c r="B102" t="s">
        <v>216</v>
      </c>
      <c r="C102" t="s">
        <v>219</v>
      </c>
      <c r="W102">
        <v>9.1272620011626074E-2</v>
      </c>
      <c r="X102">
        <v>15.90842567409809</v>
      </c>
      <c r="Y102">
        <v>6.2876800057664078E-2</v>
      </c>
      <c r="Z102">
        <v>1.0268281273248021</v>
      </c>
      <c r="AA102">
        <v>1.578150279678183</v>
      </c>
      <c r="AB102">
        <v>2.7095192104723491</v>
      </c>
      <c r="AC102">
        <v>15.20293520576165</v>
      </c>
      <c r="AD102">
        <v>2.8118519031613558</v>
      </c>
    </row>
    <row r="103" spans="1:35" x14ac:dyDescent="0.25">
      <c r="A103" s="35" t="s">
        <v>131</v>
      </c>
      <c r="B103" t="s">
        <v>216</v>
      </c>
      <c r="C103" t="s">
        <v>219</v>
      </c>
      <c r="W103">
        <v>7.9025427287809813E-2</v>
      </c>
      <c r="X103">
        <v>18.069145078851779</v>
      </c>
      <c r="Y103">
        <v>5.5352037197026228E-2</v>
      </c>
      <c r="Z103">
        <v>0.9045014877323988</v>
      </c>
      <c r="AA103">
        <v>1.843574804674772</v>
      </c>
      <c r="AB103">
        <v>3.1840188074499132</v>
      </c>
      <c r="AC103">
        <v>16.22858487379165</v>
      </c>
      <c r="AD103">
        <v>2.8371823921650892</v>
      </c>
    </row>
    <row r="104" spans="1:35" x14ac:dyDescent="0.25">
      <c r="A104" s="35" t="s">
        <v>132</v>
      </c>
      <c r="B104" t="s">
        <v>216</v>
      </c>
      <c r="C104" t="s">
        <v>219</v>
      </c>
      <c r="W104">
        <v>6.761477529275027E-2</v>
      </c>
      <c r="X104">
        <v>20.385038595736489</v>
      </c>
      <c r="Y104">
        <v>4.9056006483180641E-2</v>
      </c>
      <c r="Z104">
        <v>0.81141046674277728</v>
      </c>
      <c r="AA104">
        <v>1.291084610477641</v>
      </c>
      <c r="AB104">
        <v>3.1832346073351778</v>
      </c>
      <c r="AC104">
        <v>18.998839281820128</v>
      </c>
      <c r="AD104">
        <v>2.1662385134322508</v>
      </c>
    </row>
    <row r="105" spans="1:35" x14ac:dyDescent="0.25">
      <c r="A105" s="35" t="s">
        <v>133</v>
      </c>
      <c r="B105" t="s">
        <v>216</v>
      </c>
      <c r="C105" t="s">
        <v>219</v>
      </c>
      <c r="W105">
        <v>8.3506768380543869E-2</v>
      </c>
      <c r="X105">
        <v>16.76840141481302</v>
      </c>
      <c r="Y105">
        <v>5.9640754885418597E-2</v>
      </c>
      <c r="Z105">
        <v>0.97590082649699017</v>
      </c>
      <c r="AA105">
        <v>1.3640858728740759</v>
      </c>
      <c r="AB105">
        <v>2.733412600939674</v>
      </c>
      <c r="AC105">
        <v>15.50920150353236</v>
      </c>
      <c r="AD105">
        <v>2.3570258907435808</v>
      </c>
    </row>
    <row r="106" spans="1:35" x14ac:dyDescent="0.25">
      <c r="A106" s="35" t="s">
        <v>134</v>
      </c>
      <c r="B106" t="s">
        <v>216</v>
      </c>
      <c r="C106" t="s">
        <v>219</v>
      </c>
      <c r="W106">
        <v>8.4335724000000001E-2</v>
      </c>
      <c r="X106">
        <v>19.510338000000001</v>
      </c>
      <c r="Y106">
        <v>5.1314235E-2</v>
      </c>
      <c r="Z106">
        <v>0.98171893799999999</v>
      </c>
      <c r="AA106">
        <v>0.32942816899999999</v>
      </c>
      <c r="AB106">
        <v>3.2614744</v>
      </c>
      <c r="AC106">
        <v>17.53357565</v>
      </c>
      <c r="AD106">
        <v>2.1505987879999999</v>
      </c>
    </row>
    <row r="107" spans="1:35" x14ac:dyDescent="0.25">
      <c r="A107" s="35" t="s">
        <v>135</v>
      </c>
      <c r="B107" t="s">
        <v>216</v>
      </c>
      <c r="C107" t="s">
        <v>219</v>
      </c>
      <c r="W107">
        <v>0.106804122</v>
      </c>
      <c r="X107">
        <v>15.86098496</v>
      </c>
      <c r="Y107">
        <v>6.3093791999999996E-2</v>
      </c>
      <c r="Z107">
        <v>1.186192449</v>
      </c>
      <c r="AA107">
        <v>0.32219751000000002</v>
      </c>
      <c r="AB107">
        <v>3.0277614879999999</v>
      </c>
      <c r="AC107">
        <v>14.47539871</v>
      </c>
      <c r="AD107">
        <v>3.1080137460000001</v>
      </c>
    </row>
    <row r="108" spans="1:35" x14ac:dyDescent="0.25">
      <c r="A108" s="35" t="s">
        <v>136</v>
      </c>
      <c r="B108" t="s">
        <v>216</v>
      </c>
      <c r="C108" t="s">
        <v>219</v>
      </c>
      <c r="W108">
        <v>0.112930128</v>
      </c>
      <c r="X108">
        <v>14.95823845</v>
      </c>
      <c r="Y108">
        <v>6.6928873E-2</v>
      </c>
      <c r="Z108">
        <v>1.2262432720000001</v>
      </c>
      <c r="AA108">
        <v>0.33118458499999998</v>
      </c>
      <c r="AB108">
        <v>2.6452748920000002</v>
      </c>
      <c r="AC108">
        <v>13.29509696</v>
      </c>
      <c r="AD108">
        <v>4.0235488530000003</v>
      </c>
    </row>
    <row r="109" spans="1:35" x14ac:dyDescent="0.25">
      <c r="A109" s="35" t="s">
        <v>137</v>
      </c>
      <c r="B109" t="s">
        <v>216</v>
      </c>
      <c r="C109" t="s">
        <v>219</v>
      </c>
      <c r="W109">
        <v>8.2441263000000001E-2</v>
      </c>
      <c r="X109">
        <v>19.52330959</v>
      </c>
      <c r="Y109">
        <v>5.1285740000000003E-2</v>
      </c>
      <c r="Z109">
        <v>1.0170202770000001</v>
      </c>
      <c r="AA109">
        <v>0.32310641200000001</v>
      </c>
      <c r="AB109">
        <v>3.4857444219999998</v>
      </c>
      <c r="AC109">
        <v>19.053652240000002</v>
      </c>
      <c r="AD109">
        <v>2.1891386050000001</v>
      </c>
    </row>
    <row r="110" spans="1:35" x14ac:dyDescent="0.25">
      <c r="A110" s="35" t="s">
        <v>138</v>
      </c>
      <c r="B110" t="s">
        <v>216</v>
      </c>
      <c r="C110" t="s">
        <v>219</v>
      </c>
      <c r="W110">
        <v>7.3770159000000002E-2</v>
      </c>
      <c r="X110">
        <v>28.380903679999999</v>
      </c>
      <c r="Y110">
        <v>3.5244141999999999E-2</v>
      </c>
      <c r="Z110">
        <v>0.98031823299999998</v>
      </c>
      <c r="AA110">
        <v>0.45094210699999998</v>
      </c>
      <c r="AB110">
        <v>5.6140701990000004</v>
      </c>
      <c r="AC110">
        <v>23.40082658</v>
      </c>
      <c r="AD110">
        <v>5.5261167330000003</v>
      </c>
    </row>
    <row r="111" spans="1:35" x14ac:dyDescent="0.25">
      <c r="A111" s="35" t="s">
        <v>139</v>
      </c>
      <c r="B111" t="s">
        <v>216</v>
      </c>
      <c r="C111" t="s">
        <v>219</v>
      </c>
      <c r="AE111">
        <v>0.95138900000000004</v>
      </c>
      <c r="AF111">
        <v>0.43402800000000002</v>
      </c>
      <c r="AG111">
        <v>10.0937</v>
      </c>
      <c r="AH111">
        <v>25.372209999999999</v>
      </c>
      <c r="AI111">
        <v>1.6872469999999999</v>
      </c>
    </row>
    <row r="112" spans="1:35" x14ac:dyDescent="0.25">
      <c r="A112" s="35" t="s">
        <v>140</v>
      </c>
      <c r="B112" t="s">
        <v>216</v>
      </c>
      <c r="C112" t="s">
        <v>219</v>
      </c>
      <c r="AE112">
        <v>0.79861099999999996</v>
      </c>
      <c r="AF112">
        <v>0.36458299999999999</v>
      </c>
      <c r="AG112">
        <v>6.9929509999999997</v>
      </c>
      <c r="AH112">
        <v>24.849070000000001</v>
      </c>
      <c r="AI112">
        <v>1.5524629999999999</v>
      </c>
    </row>
    <row r="113" spans="1:35" x14ac:dyDescent="0.25">
      <c r="A113" s="35" t="s">
        <v>141</v>
      </c>
      <c r="B113" t="s">
        <v>216</v>
      </c>
      <c r="C113" t="s">
        <v>219</v>
      </c>
      <c r="AE113">
        <v>0.97916700000000001</v>
      </c>
      <c r="AF113">
        <v>0.26041700000000001</v>
      </c>
      <c r="AG113">
        <v>5.9656890000000002</v>
      </c>
      <c r="AH113">
        <v>38.712249999999997</v>
      </c>
      <c r="AI113">
        <v>1.6582300000000001</v>
      </c>
    </row>
    <row r="114" spans="1:35" x14ac:dyDescent="0.25">
      <c r="A114" s="21" t="s">
        <v>50</v>
      </c>
      <c r="D114">
        <f>AVERAGE(D94:D113)</f>
        <v>20.875</v>
      </c>
      <c r="E114">
        <f t="shared" ref="E114:AI114" si="6">AVERAGE(E94:E113)</f>
        <v>29.625</v>
      </c>
      <c r="F114">
        <f t="shared" si="6"/>
        <v>4.8987499999999997</v>
      </c>
      <c r="G114">
        <f t="shared" si="6"/>
        <v>7.4725000000000001</v>
      </c>
      <c r="H114">
        <f t="shared" si="6"/>
        <v>11.625</v>
      </c>
      <c r="I114">
        <f t="shared" si="6"/>
        <v>42.25</v>
      </c>
      <c r="J114">
        <f t="shared" si="6"/>
        <v>1.25</v>
      </c>
      <c r="K114">
        <f t="shared" si="6"/>
        <v>0.92014250000000009</v>
      </c>
      <c r="L114">
        <f t="shared" si="6"/>
        <v>1292.9100888643156</v>
      </c>
      <c r="M114">
        <f t="shared" si="6"/>
        <v>41.918346531335054</v>
      </c>
      <c r="N114">
        <f t="shared" si="6"/>
        <v>1.2726402116402127</v>
      </c>
      <c r="O114">
        <f t="shared" si="6"/>
        <v>1.4463126143768328</v>
      </c>
      <c r="P114">
        <f t="shared" si="6"/>
        <v>7.2606074254565822</v>
      </c>
      <c r="Q114">
        <f t="shared" si="6"/>
        <v>27.3717629395274</v>
      </c>
      <c r="R114">
        <f t="shared" si="6"/>
        <v>29.863491727872532</v>
      </c>
      <c r="S114">
        <f t="shared" si="6"/>
        <v>3.1482100320739156E-2</v>
      </c>
      <c r="T114">
        <f t="shared" si="6"/>
        <v>0.12542498936032243</v>
      </c>
      <c r="U114">
        <f t="shared" si="6"/>
        <v>0.16325636721817016</v>
      </c>
      <c r="V114">
        <f t="shared" si="6"/>
        <v>15.291816841718305</v>
      </c>
      <c r="W114">
        <f t="shared" si="6"/>
        <v>8.4587530353890467E-2</v>
      </c>
      <c r="X114">
        <f t="shared" si="6"/>
        <v>19.326462397923329</v>
      </c>
      <c r="Y114">
        <f t="shared" si="6"/>
        <v>5.3663786604707345E-2</v>
      </c>
      <c r="Z114">
        <f t="shared" si="6"/>
        <v>0.9921382723970551</v>
      </c>
      <c r="AA114">
        <f t="shared" si="6"/>
        <v>0.90636883176199379</v>
      </c>
      <c r="AB114">
        <f t="shared" si="6"/>
        <v>3.4566148184336178</v>
      </c>
      <c r="AC114">
        <f t="shared" si="6"/>
        <v>17.630800687631528</v>
      </c>
      <c r="AD114">
        <f t="shared" si="6"/>
        <v>2.9051417461544999</v>
      </c>
      <c r="AE114">
        <f t="shared" si="6"/>
        <v>0.9097223333333333</v>
      </c>
      <c r="AF114">
        <f t="shared" si="6"/>
        <v>0.35300933333333334</v>
      </c>
      <c r="AG114">
        <f t="shared" si="6"/>
        <v>7.6841133333333334</v>
      </c>
      <c r="AH114">
        <f t="shared" si="6"/>
        <v>29.644509999999997</v>
      </c>
      <c r="AI114">
        <f t="shared" si="6"/>
        <v>1.6326466666666668</v>
      </c>
    </row>
    <row r="115" spans="1:35" x14ac:dyDescent="0.25">
      <c r="A115" s="34" t="s">
        <v>142</v>
      </c>
      <c r="B115" t="s">
        <v>216</v>
      </c>
      <c r="C115" t="s">
        <v>220</v>
      </c>
      <c r="D115">
        <v>41</v>
      </c>
      <c r="E115">
        <v>30</v>
      </c>
      <c r="F115">
        <v>15.37</v>
      </c>
      <c r="G115">
        <v>6.09</v>
      </c>
      <c r="H115">
        <v>9</v>
      </c>
      <c r="I115">
        <v>42</v>
      </c>
      <c r="J115">
        <v>0</v>
      </c>
      <c r="K115">
        <v>0.95255999999999996</v>
      </c>
      <c r="L115">
        <v>1462.7475840593399</v>
      </c>
      <c r="M115">
        <v>37.721184060369403</v>
      </c>
      <c r="N115">
        <v>1.3570163496830201</v>
      </c>
      <c r="O115">
        <v>1.42680362659626</v>
      </c>
      <c r="P115">
        <v>10.3059296056667</v>
      </c>
      <c r="Q115">
        <v>40.840378077965802</v>
      </c>
      <c r="R115">
        <v>36.774311845072901</v>
      </c>
      <c r="S115">
        <v>3.3860362669374457E-2</v>
      </c>
      <c r="T115">
        <v>0.14333588181784199</v>
      </c>
      <c r="U115">
        <v>0.27738573551808998</v>
      </c>
      <c r="V115">
        <v>14.524727809496691</v>
      </c>
    </row>
    <row r="116" spans="1:35" x14ac:dyDescent="0.25">
      <c r="A116" s="34" t="s">
        <v>143</v>
      </c>
      <c r="B116" t="s">
        <v>216</v>
      </c>
      <c r="C116" t="s">
        <v>220</v>
      </c>
      <c r="D116">
        <v>17</v>
      </c>
      <c r="E116">
        <v>30</v>
      </c>
      <c r="F116">
        <v>4.92</v>
      </c>
      <c r="G116">
        <v>5.08</v>
      </c>
      <c r="H116">
        <v>14</v>
      </c>
      <c r="I116">
        <v>37</v>
      </c>
      <c r="J116">
        <v>1</v>
      </c>
      <c r="K116">
        <v>0.96360000000000001</v>
      </c>
      <c r="L116">
        <v>1159.4952930868501</v>
      </c>
      <c r="M116">
        <v>28.805678528377801</v>
      </c>
      <c r="N116">
        <v>1.38174507841175</v>
      </c>
      <c r="O116">
        <v>1.5527219155637699</v>
      </c>
      <c r="P116">
        <v>12.342049920923101</v>
      </c>
      <c r="Q116">
        <v>48.158254402945403</v>
      </c>
      <c r="R116">
        <v>38.248637883897899</v>
      </c>
      <c r="S116">
        <v>3.6150687005301052E-2</v>
      </c>
      <c r="T116">
        <v>0.15493366215141</v>
      </c>
      <c r="U116">
        <v>0.233284105291302</v>
      </c>
      <c r="V116">
        <v>14.057093312811229</v>
      </c>
    </row>
    <row r="117" spans="1:35" x14ac:dyDescent="0.25">
      <c r="A117" s="34" t="s">
        <v>144</v>
      </c>
      <c r="B117" t="s">
        <v>216</v>
      </c>
      <c r="C117" t="s">
        <v>220</v>
      </c>
      <c r="D117">
        <v>21</v>
      </c>
      <c r="E117">
        <v>22</v>
      </c>
      <c r="F117">
        <v>1.08</v>
      </c>
      <c r="G117">
        <v>4.74</v>
      </c>
      <c r="H117">
        <v>6</v>
      </c>
      <c r="I117">
        <v>55</v>
      </c>
      <c r="J117">
        <v>0</v>
      </c>
      <c r="K117">
        <v>0.92356000000000005</v>
      </c>
      <c r="L117">
        <v>1047.12821751912</v>
      </c>
      <c r="M117">
        <v>45.487453417880197</v>
      </c>
      <c r="N117">
        <v>1.1432002002002</v>
      </c>
      <c r="O117">
        <v>1.2048458623297</v>
      </c>
      <c r="P117">
        <v>3.92542935168292</v>
      </c>
      <c r="Q117">
        <v>23.089915975697998</v>
      </c>
      <c r="R117">
        <v>35.030449239211897</v>
      </c>
      <c r="T117">
        <v>0.24488568887135201</v>
      </c>
      <c r="U117">
        <v>0.12165968813844801</v>
      </c>
      <c r="V117">
        <v>8.2310944773189183E-3</v>
      </c>
    </row>
    <row r="118" spans="1:35" x14ac:dyDescent="0.25">
      <c r="A118" s="34" t="s">
        <v>145</v>
      </c>
      <c r="B118" t="s">
        <v>216</v>
      </c>
      <c r="C118" t="s">
        <v>220</v>
      </c>
      <c r="D118">
        <v>19</v>
      </c>
      <c r="E118">
        <v>17</v>
      </c>
      <c r="F118">
        <v>6.68</v>
      </c>
      <c r="G118">
        <v>3.96</v>
      </c>
      <c r="H118">
        <v>12</v>
      </c>
      <c r="I118">
        <v>49</v>
      </c>
      <c r="J118">
        <v>1</v>
      </c>
      <c r="K118">
        <v>0.98524</v>
      </c>
      <c r="W118">
        <v>8.1360482934363154E-2</v>
      </c>
      <c r="X118">
        <v>18.775689029494909</v>
      </c>
      <c r="Y118">
        <v>5.3262316106155387E-2</v>
      </c>
      <c r="Z118">
        <v>0.97049381586941985</v>
      </c>
      <c r="AA118">
        <v>1.522145983994684</v>
      </c>
      <c r="AB118">
        <v>3.6368045951899082</v>
      </c>
      <c r="AC118">
        <v>16.78671753105569</v>
      </c>
      <c r="AD118">
        <v>2.38814160806279</v>
      </c>
    </row>
    <row r="119" spans="1:35" x14ac:dyDescent="0.25">
      <c r="A119" s="34" t="s">
        <v>146</v>
      </c>
      <c r="B119" t="s">
        <v>216</v>
      </c>
      <c r="C119" t="s">
        <v>220</v>
      </c>
      <c r="D119">
        <v>30</v>
      </c>
      <c r="E119">
        <v>35</v>
      </c>
      <c r="F119">
        <v>6.17</v>
      </c>
      <c r="G119">
        <v>5.18</v>
      </c>
      <c r="H119">
        <v>18</v>
      </c>
      <c r="I119">
        <v>41</v>
      </c>
      <c r="J119">
        <v>0</v>
      </c>
      <c r="K119">
        <v>0.96355999999999997</v>
      </c>
      <c r="W119">
        <v>0.10072755777659299</v>
      </c>
      <c r="X119">
        <v>17.291748919264581</v>
      </c>
      <c r="Y119">
        <v>5.8050874317193267E-2</v>
      </c>
      <c r="Z119">
        <v>1.0501855807863569</v>
      </c>
      <c r="AA119">
        <v>1.3056121080838321</v>
      </c>
      <c r="AB119">
        <v>3.1760665086520321</v>
      </c>
      <c r="AC119">
        <v>16.261592716718269</v>
      </c>
      <c r="AD119">
        <v>2.9104890939379029</v>
      </c>
    </row>
    <row r="120" spans="1:35" x14ac:dyDescent="0.25">
      <c r="A120" s="34" t="s">
        <v>147</v>
      </c>
      <c r="B120" t="s">
        <v>216</v>
      </c>
      <c r="C120" t="s">
        <v>220</v>
      </c>
      <c r="W120">
        <v>9.6483724097988263E-2</v>
      </c>
      <c r="X120">
        <v>15.60198044773008</v>
      </c>
      <c r="Y120">
        <v>6.411784534279695E-2</v>
      </c>
      <c r="Z120">
        <v>1.0612173031839229</v>
      </c>
      <c r="AA120">
        <v>1.339151369868262</v>
      </c>
      <c r="AB120">
        <v>3.0509618858435279</v>
      </c>
      <c r="AC120">
        <v>14.05809635942491</v>
      </c>
      <c r="AD120">
        <v>2.2759224541554421</v>
      </c>
    </row>
    <row r="121" spans="1:35" x14ac:dyDescent="0.25">
      <c r="A121" s="34" t="s">
        <v>148</v>
      </c>
      <c r="B121" t="s">
        <v>216</v>
      </c>
      <c r="C121" t="s">
        <v>220</v>
      </c>
      <c r="W121">
        <v>8.8068053531422663E-2</v>
      </c>
      <c r="X121">
        <v>16.099379395515349</v>
      </c>
      <c r="Y121">
        <v>6.2196315824691963E-2</v>
      </c>
      <c r="Z121">
        <v>1.1228437653614101</v>
      </c>
      <c r="AA121">
        <v>1.3377229419985559</v>
      </c>
      <c r="AB121">
        <v>2.961333381041765</v>
      </c>
      <c r="AC121">
        <v>13.990870396590431</v>
      </c>
      <c r="AD121">
        <v>2.356264784584186</v>
      </c>
    </row>
    <row r="122" spans="1:35" x14ac:dyDescent="0.25">
      <c r="A122" s="34" t="s">
        <v>149</v>
      </c>
      <c r="B122" t="s">
        <v>216</v>
      </c>
      <c r="C122" t="s">
        <v>220</v>
      </c>
      <c r="W122">
        <v>6.3771636320005154E-2</v>
      </c>
      <c r="X122">
        <v>24.09800392816846</v>
      </c>
      <c r="Y122">
        <v>4.1528080416792283E-2</v>
      </c>
      <c r="Z122">
        <v>0.91039364739502115</v>
      </c>
      <c r="AA122">
        <v>1.180228736648274</v>
      </c>
      <c r="AB122">
        <v>5.0366509880128927</v>
      </c>
      <c r="AC122">
        <v>21.379119416587969</v>
      </c>
      <c r="AD122">
        <v>1.7443996829223489</v>
      </c>
    </row>
    <row r="123" spans="1:35" x14ac:dyDescent="0.25">
      <c r="A123" s="34" t="s">
        <v>150</v>
      </c>
      <c r="B123" t="s">
        <v>216</v>
      </c>
      <c r="C123" t="s">
        <v>220</v>
      </c>
      <c r="AE123">
        <v>1.2708330000000001</v>
      </c>
      <c r="AF123">
        <v>0.34722199999999998</v>
      </c>
      <c r="AG123">
        <v>7.3357169999999998</v>
      </c>
      <c r="AH123">
        <v>24.325939999999999</v>
      </c>
      <c r="AI123">
        <v>1.667697</v>
      </c>
    </row>
    <row r="124" spans="1:35" x14ac:dyDescent="0.25">
      <c r="A124" s="34" t="s">
        <v>151</v>
      </c>
      <c r="B124" t="s">
        <v>216</v>
      </c>
      <c r="C124" t="s">
        <v>220</v>
      </c>
      <c r="AE124">
        <v>0.41145799999999999</v>
      </c>
      <c r="AF124">
        <v>0.23958299999999999</v>
      </c>
      <c r="AG124">
        <v>5.197222</v>
      </c>
      <c r="AH124">
        <v>24.325949999999999</v>
      </c>
      <c r="AI124">
        <v>1.322605</v>
      </c>
    </row>
    <row r="125" spans="1:35" x14ac:dyDescent="0.25">
      <c r="A125" s="34" t="s">
        <v>152</v>
      </c>
      <c r="B125" t="s">
        <v>216</v>
      </c>
      <c r="C125" t="s">
        <v>220</v>
      </c>
      <c r="AE125">
        <v>1.0590280000000001</v>
      </c>
      <c r="AF125">
        <v>0.38541700000000001</v>
      </c>
      <c r="AH125">
        <v>30.603580000000001</v>
      </c>
      <c r="AI125">
        <v>1.4716929999999999</v>
      </c>
    </row>
    <row r="126" spans="1:35" x14ac:dyDescent="0.25">
      <c r="A126" s="21" t="s">
        <v>50</v>
      </c>
      <c r="D126">
        <f>AVERAGE(D115:D125)</f>
        <v>25.6</v>
      </c>
      <c r="E126">
        <f t="shared" ref="E126:AI126" si="7">AVERAGE(E115:E125)</f>
        <v>26.8</v>
      </c>
      <c r="F126">
        <f t="shared" si="7"/>
        <v>6.8439999999999994</v>
      </c>
      <c r="G126">
        <f t="shared" si="7"/>
        <v>5.01</v>
      </c>
      <c r="H126">
        <f t="shared" si="7"/>
        <v>11.8</v>
      </c>
      <c r="I126">
        <f t="shared" si="7"/>
        <v>44.8</v>
      </c>
      <c r="J126">
        <f t="shared" si="7"/>
        <v>0.4</v>
      </c>
      <c r="K126">
        <f t="shared" si="7"/>
        <v>0.957704</v>
      </c>
      <c r="L126">
        <f t="shared" si="7"/>
        <v>1223.1236982217699</v>
      </c>
      <c r="M126">
        <f t="shared" si="7"/>
        <v>37.338105335542473</v>
      </c>
      <c r="N126">
        <f t="shared" si="7"/>
        <v>1.2939872094316567</v>
      </c>
      <c r="O126">
        <f t="shared" si="7"/>
        <v>1.3947904681632435</v>
      </c>
      <c r="P126">
        <f t="shared" si="7"/>
        <v>8.8578029594242391</v>
      </c>
      <c r="Q126">
        <f t="shared" si="7"/>
        <v>37.362849485536401</v>
      </c>
      <c r="R126">
        <f t="shared" si="7"/>
        <v>36.684466322727566</v>
      </c>
      <c r="S126">
        <f t="shared" si="7"/>
        <v>3.5005524837337751E-2</v>
      </c>
      <c r="T126">
        <f t="shared" si="7"/>
        <v>0.18105174428020132</v>
      </c>
      <c r="U126">
        <f t="shared" si="7"/>
        <v>0.21077650964927996</v>
      </c>
      <c r="V126">
        <f t="shared" si="7"/>
        <v>9.5300174055950801</v>
      </c>
      <c r="W126">
        <f t="shared" si="7"/>
        <v>8.6082290932074451E-2</v>
      </c>
      <c r="X126">
        <f t="shared" si="7"/>
        <v>18.373360344034676</v>
      </c>
      <c r="Y126">
        <f t="shared" si="7"/>
        <v>5.5831086401525967E-2</v>
      </c>
      <c r="Z126">
        <f t="shared" si="7"/>
        <v>1.0230268225192263</v>
      </c>
      <c r="AA126">
        <f t="shared" si="7"/>
        <v>1.3369722281187215</v>
      </c>
      <c r="AB126">
        <f t="shared" si="7"/>
        <v>3.5723634717480253</v>
      </c>
      <c r="AC126">
        <f t="shared" si="7"/>
        <v>16.495279284075451</v>
      </c>
      <c r="AD126">
        <f t="shared" si="7"/>
        <v>2.3350435247325341</v>
      </c>
      <c r="AE126">
        <f t="shared" si="7"/>
        <v>0.91377300000000006</v>
      </c>
      <c r="AF126">
        <f t="shared" si="7"/>
        <v>0.32407400000000003</v>
      </c>
      <c r="AG126">
        <f t="shared" si="7"/>
        <v>6.2664694999999995</v>
      </c>
      <c r="AH126">
        <f t="shared" si="7"/>
        <v>26.418490000000002</v>
      </c>
      <c r="AI126">
        <f t="shared" si="7"/>
        <v>1.4873316666666667</v>
      </c>
    </row>
    <row r="127" spans="1:35" x14ac:dyDescent="0.25">
      <c r="A127" s="35" t="s">
        <v>153</v>
      </c>
      <c r="B127" t="s">
        <v>217</v>
      </c>
      <c r="C127" t="s">
        <v>219</v>
      </c>
      <c r="D127">
        <v>8</v>
      </c>
      <c r="E127">
        <v>20</v>
      </c>
      <c r="F127">
        <v>6.33</v>
      </c>
      <c r="G127">
        <v>5.23</v>
      </c>
      <c r="H127">
        <v>13</v>
      </c>
      <c r="I127">
        <v>28</v>
      </c>
      <c r="J127">
        <v>2</v>
      </c>
      <c r="K127">
        <v>0.94321999999999995</v>
      </c>
      <c r="L127">
        <v>1662.3225407544301</v>
      </c>
      <c r="M127">
        <v>51.770816986474699</v>
      </c>
      <c r="N127">
        <v>1.2254337671004301</v>
      </c>
      <c r="O127">
        <v>1.5251241515998299</v>
      </c>
      <c r="P127">
        <v>7.7855023267413603</v>
      </c>
      <c r="Q127">
        <v>30.705289459146499</v>
      </c>
      <c r="R127">
        <v>50.184774317335297</v>
      </c>
      <c r="S127">
        <v>2.895334040325916E-2</v>
      </c>
      <c r="T127">
        <v>0.57397914757041102</v>
      </c>
      <c r="U127">
        <v>0.23529519752459099</v>
      </c>
      <c r="V127">
        <v>20.342214442328249</v>
      </c>
    </row>
    <row r="128" spans="1:35" x14ac:dyDescent="0.25">
      <c r="A128" s="35" t="s">
        <v>154</v>
      </c>
      <c r="B128" t="s">
        <v>217</v>
      </c>
      <c r="C128" t="s">
        <v>219</v>
      </c>
      <c r="D128">
        <v>6</v>
      </c>
      <c r="E128">
        <v>9</v>
      </c>
      <c r="F128">
        <v>22.25</v>
      </c>
      <c r="G128">
        <v>6.11</v>
      </c>
      <c r="H128">
        <v>17</v>
      </c>
      <c r="I128">
        <v>41</v>
      </c>
      <c r="J128">
        <v>1</v>
      </c>
      <c r="K128">
        <v>0.91342000000000001</v>
      </c>
      <c r="L128">
        <v>1328.9849819365199</v>
      </c>
      <c r="M128">
        <v>62.131309700159598</v>
      </c>
      <c r="N128">
        <v>1.0054614614614601</v>
      </c>
      <c r="O128">
        <v>1.68007826201379</v>
      </c>
      <c r="P128">
        <v>4.5831155610065002</v>
      </c>
      <c r="Q128">
        <v>15.7997780966164</v>
      </c>
      <c r="R128">
        <v>32.3137742867616</v>
      </c>
      <c r="S128">
        <v>6.0778088154229887E-2</v>
      </c>
      <c r="T128">
        <v>0.27181210863592198</v>
      </c>
      <c r="U128">
        <v>9.9933346588637104E-2</v>
      </c>
      <c r="V128">
        <v>20.13153875355443</v>
      </c>
    </row>
    <row r="129" spans="1:35" x14ac:dyDescent="0.25">
      <c r="A129" s="35" t="s">
        <v>155</v>
      </c>
      <c r="B129" t="s">
        <v>217</v>
      </c>
      <c r="C129" t="s">
        <v>219</v>
      </c>
      <c r="D129">
        <v>14</v>
      </c>
      <c r="E129">
        <v>17</v>
      </c>
      <c r="F129">
        <v>7.3</v>
      </c>
      <c r="G129">
        <v>5.33</v>
      </c>
      <c r="H129">
        <v>9</v>
      </c>
      <c r="I129">
        <v>36</v>
      </c>
      <c r="J129">
        <v>0</v>
      </c>
      <c r="K129">
        <v>0.92310999999999999</v>
      </c>
      <c r="L129">
        <v>1564.5040921540799</v>
      </c>
      <c r="M129">
        <v>47.003810071591097</v>
      </c>
      <c r="N129">
        <v>1.34747747747748</v>
      </c>
      <c r="O129">
        <v>1.58789450363891</v>
      </c>
      <c r="P129">
        <v>10.154440414934699</v>
      </c>
      <c r="Q129">
        <v>29.807254044749001</v>
      </c>
      <c r="R129">
        <v>52.1361271142828</v>
      </c>
      <c r="S129">
        <v>2.8534742875384229E-2</v>
      </c>
      <c r="T129">
        <v>0.32412313219751998</v>
      </c>
      <c r="U129">
        <v>0.197601156889812</v>
      </c>
      <c r="V129">
        <v>17.0470400694172</v>
      </c>
    </row>
    <row r="130" spans="1:35" x14ac:dyDescent="0.25">
      <c r="A130" s="35" t="s">
        <v>156</v>
      </c>
      <c r="B130" t="s">
        <v>217</v>
      </c>
      <c r="C130" t="s">
        <v>219</v>
      </c>
      <c r="D130">
        <v>11</v>
      </c>
      <c r="E130">
        <v>22</v>
      </c>
      <c r="F130">
        <v>3.12</v>
      </c>
      <c r="G130">
        <v>3.29</v>
      </c>
      <c r="H130">
        <v>7</v>
      </c>
      <c r="I130">
        <v>30</v>
      </c>
      <c r="J130">
        <v>1</v>
      </c>
      <c r="K130">
        <v>0.91168000000000005</v>
      </c>
      <c r="L130">
        <v>1564.5040921540799</v>
      </c>
      <c r="M130">
        <v>47.003810071591097</v>
      </c>
      <c r="N130">
        <v>1.34747747747748</v>
      </c>
      <c r="O130">
        <v>1.58789450363891</v>
      </c>
      <c r="P130">
        <v>10.154440414934699</v>
      </c>
      <c r="Q130">
        <v>29.807254044749001</v>
      </c>
      <c r="R130">
        <v>52.1361271142828</v>
      </c>
      <c r="S130">
        <v>2.8534742875384229E-2</v>
      </c>
      <c r="T130">
        <v>0.32412313219751998</v>
      </c>
      <c r="U130">
        <v>0.197601156889812</v>
      </c>
      <c r="V130">
        <v>17.0470400694172</v>
      </c>
    </row>
    <row r="131" spans="1:35" x14ac:dyDescent="0.25">
      <c r="A131" s="35" t="s">
        <v>157</v>
      </c>
      <c r="B131" t="s">
        <v>217</v>
      </c>
      <c r="C131" t="s">
        <v>219</v>
      </c>
      <c r="L131">
        <v>1410.1931058360501</v>
      </c>
      <c r="M131">
        <v>58.402342102639203</v>
      </c>
      <c r="N131">
        <v>1.1420930930930899</v>
      </c>
      <c r="O131">
        <v>1.4553597209503699</v>
      </c>
      <c r="P131">
        <v>5.8621918353568097</v>
      </c>
      <c r="Q131">
        <v>20.330740830692701</v>
      </c>
      <c r="R131">
        <v>36.907383645551</v>
      </c>
      <c r="S131">
        <v>4.4564122463780283E-2</v>
      </c>
      <c r="T131">
        <v>0.24281433354347901</v>
      </c>
      <c r="U131">
        <v>0.116465794886649</v>
      </c>
      <c r="V131">
        <v>18.329323781731571</v>
      </c>
    </row>
    <row r="132" spans="1:35" x14ac:dyDescent="0.25">
      <c r="A132" s="35" t="s">
        <v>158</v>
      </c>
      <c r="B132" t="s">
        <v>217</v>
      </c>
      <c r="C132" t="s">
        <v>219</v>
      </c>
      <c r="W132">
        <v>8.2265120999999997E-2</v>
      </c>
      <c r="X132">
        <v>18.66149463</v>
      </c>
      <c r="Y132">
        <v>5.3593543E-2</v>
      </c>
      <c r="Z132">
        <v>0.96315442399999995</v>
      </c>
      <c r="AA132">
        <v>0.18782533200000001</v>
      </c>
      <c r="AB132">
        <v>2.4889283799999999</v>
      </c>
      <c r="AC132">
        <v>19.313327860000001</v>
      </c>
      <c r="AD132">
        <v>3.099693502</v>
      </c>
    </row>
    <row r="133" spans="1:35" x14ac:dyDescent="0.25">
      <c r="A133" s="35" t="s">
        <v>159</v>
      </c>
      <c r="B133" t="s">
        <v>217</v>
      </c>
      <c r="C133" t="s">
        <v>219</v>
      </c>
      <c r="W133">
        <v>9.3433586999999999E-2</v>
      </c>
      <c r="X133">
        <v>17.89837455</v>
      </c>
      <c r="Y133">
        <v>5.5892507000000001E-2</v>
      </c>
      <c r="Z133">
        <v>1.079322889</v>
      </c>
      <c r="AA133">
        <v>0.19815887400000001</v>
      </c>
      <c r="AB133">
        <v>2.856269315</v>
      </c>
      <c r="AC133">
        <v>17.627351269999998</v>
      </c>
      <c r="AD133">
        <v>3.2075332830000001</v>
      </c>
    </row>
    <row r="134" spans="1:35" x14ac:dyDescent="0.25">
      <c r="A134" s="35" t="s">
        <v>160</v>
      </c>
      <c r="B134" t="s">
        <v>217</v>
      </c>
      <c r="C134" t="s">
        <v>219</v>
      </c>
      <c r="W134">
        <v>9.6119781000000001E-2</v>
      </c>
      <c r="X134">
        <v>16.74423934</v>
      </c>
      <c r="Y134">
        <v>5.9761962000000002E-2</v>
      </c>
      <c r="Z134">
        <v>1.1528685400000001</v>
      </c>
      <c r="AA134">
        <v>0.192829478</v>
      </c>
      <c r="AB134">
        <v>2.4179743409999999</v>
      </c>
      <c r="AC134">
        <v>16.110752699999999</v>
      </c>
      <c r="AD134">
        <v>3.896660979</v>
      </c>
    </row>
    <row r="135" spans="1:35" x14ac:dyDescent="0.25">
      <c r="A135" s="35" t="s">
        <v>161</v>
      </c>
      <c r="B135" t="s">
        <v>217</v>
      </c>
      <c r="C135" t="s">
        <v>219</v>
      </c>
      <c r="W135">
        <v>0.106159921</v>
      </c>
      <c r="X135">
        <v>15.20363455</v>
      </c>
      <c r="Y135">
        <v>6.5799376000000007E-2</v>
      </c>
      <c r="Z135">
        <v>1.219644497</v>
      </c>
      <c r="AA135">
        <v>0.16335640800000001</v>
      </c>
      <c r="AB135">
        <v>2.5301098049999999</v>
      </c>
      <c r="AC135">
        <v>14.48135373</v>
      </c>
      <c r="AD135">
        <v>3.4413766809999999</v>
      </c>
    </row>
    <row r="136" spans="1:35" x14ac:dyDescent="0.25">
      <c r="A136" s="35" t="s">
        <v>162</v>
      </c>
      <c r="B136" t="s">
        <v>217</v>
      </c>
      <c r="C136" t="s">
        <v>219</v>
      </c>
      <c r="W136">
        <v>9.8965574000000001E-2</v>
      </c>
      <c r="X136">
        <v>16.259497199999998</v>
      </c>
      <c r="Y136">
        <v>6.1520094999999997E-2</v>
      </c>
      <c r="Z136">
        <v>1.1608788370000001</v>
      </c>
      <c r="AA136">
        <v>0.15618812400000001</v>
      </c>
      <c r="AB136">
        <v>2.5389235650000002</v>
      </c>
      <c r="AC136">
        <v>15.68992171</v>
      </c>
      <c r="AD136">
        <v>3.4310118059999999</v>
      </c>
    </row>
    <row r="137" spans="1:35" x14ac:dyDescent="0.25">
      <c r="A137" s="35" t="s">
        <v>163</v>
      </c>
      <c r="B137" t="s">
        <v>217</v>
      </c>
      <c r="C137" t="s">
        <v>219</v>
      </c>
      <c r="AE137">
        <v>0.77083299999999999</v>
      </c>
      <c r="AF137">
        <v>0.34920600000000002</v>
      </c>
      <c r="AG137">
        <v>4.7928610000000003</v>
      </c>
      <c r="AH137">
        <v>26.433949999999999</v>
      </c>
      <c r="AI137">
        <v>1.5519849999999999</v>
      </c>
    </row>
    <row r="138" spans="1:35" x14ac:dyDescent="0.25">
      <c r="A138" s="35" t="s">
        <v>164</v>
      </c>
      <c r="B138" t="s">
        <v>217</v>
      </c>
      <c r="C138" t="s">
        <v>219</v>
      </c>
      <c r="AE138">
        <v>0.89682499999999998</v>
      </c>
      <c r="AF138">
        <v>0.44642900000000002</v>
      </c>
      <c r="AG138">
        <v>6.254105</v>
      </c>
      <c r="AH138">
        <v>36.683419999999998</v>
      </c>
      <c r="AI138">
        <v>1.742791</v>
      </c>
    </row>
    <row r="139" spans="1:35" x14ac:dyDescent="0.25">
      <c r="A139" s="35" t="s">
        <v>165</v>
      </c>
      <c r="B139" t="s">
        <v>217</v>
      </c>
      <c r="C139" t="s">
        <v>219</v>
      </c>
      <c r="AE139">
        <v>1.181548</v>
      </c>
      <c r="AF139">
        <v>0.53571400000000002</v>
      </c>
      <c r="AG139">
        <v>11.563000000000001</v>
      </c>
      <c r="AH139">
        <v>28.073319999999999</v>
      </c>
      <c r="AI139">
        <v>1.676426</v>
      </c>
    </row>
    <row r="140" spans="1:35" x14ac:dyDescent="0.25">
      <c r="A140" s="35" t="s">
        <v>166</v>
      </c>
      <c r="B140" t="s">
        <v>217</v>
      </c>
      <c r="C140" t="s">
        <v>219</v>
      </c>
      <c r="AE140">
        <v>1.5833330000000001</v>
      </c>
      <c r="AF140">
        <v>0.404194</v>
      </c>
      <c r="AG140">
        <v>6.9189299999999996</v>
      </c>
      <c r="AH140">
        <v>47.249769999999998</v>
      </c>
    </row>
    <row r="141" spans="1:35" x14ac:dyDescent="0.25">
      <c r="A141" s="21" t="s">
        <v>50</v>
      </c>
      <c r="D141">
        <f>AVERAGE(D127:D140)</f>
        <v>9.75</v>
      </c>
      <c r="E141">
        <f t="shared" ref="E141:AI141" si="8">AVERAGE(E127:E140)</f>
        <v>17</v>
      </c>
      <c r="F141">
        <f t="shared" si="8"/>
        <v>9.7499999999999982</v>
      </c>
      <c r="G141">
        <f t="shared" si="8"/>
        <v>4.99</v>
      </c>
      <c r="H141">
        <f t="shared" si="8"/>
        <v>11.5</v>
      </c>
      <c r="I141">
        <f t="shared" si="8"/>
        <v>33.75</v>
      </c>
      <c r="J141">
        <f t="shared" si="8"/>
        <v>1</v>
      </c>
      <c r="K141">
        <f t="shared" si="8"/>
        <v>0.9228575</v>
      </c>
      <c r="L141">
        <f t="shared" si="8"/>
        <v>1506.101762567032</v>
      </c>
      <c r="M141">
        <f t="shared" si="8"/>
        <v>53.262417786491127</v>
      </c>
      <c r="N141">
        <f t="shared" si="8"/>
        <v>1.2135886553219879</v>
      </c>
      <c r="O141">
        <f t="shared" si="8"/>
        <v>1.5672702283683622</v>
      </c>
      <c r="P141">
        <f t="shared" si="8"/>
        <v>7.7079381105948128</v>
      </c>
      <c r="Q141">
        <f t="shared" si="8"/>
        <v>25.29006329519072</v>
      </c>
      <c r="R141">
        <f t="shared" si="8"/>
        <v>44.735637295642697</v>
      </c>
      <c r="S141">
        <f t="shared" si="8"/>
        <v>3.8273007354407557E-2</v>
      </c>
      <c r="T141">
        <f t="shared" si="8"/>
        <v>0.34737037082897038</v>
      </c>
      <c r="U141">
        <f t="shared" si="8"/>
        <v>0.16937933055590021</v>
      </c>
      <c r="V141">
        <f t="shared" si="8"/>
        <v>18.57943142328973</v>
      </c>
      <c r="W141">
        <f t="shared" si="8"/>
        <v>9.5388796799999995E-2</v>
      </c>
      <c r="X141">
        <f t="shared" si="8"/>
        <v>16.953448053999999</v>
      </c>
      <c r="Y141">
        <f t="shared" si="8"/>
        <v>5.9313496600000001E-2</v>
      </c>
      <c r="Z141">
        <f t="shared" si="8"/>
        <v>1.1151738374</v>
      </c>
      <c r="AA141">
        <f t="shared" si="8"/>
        <v>0.17967164320000001</v>
      </c>
      <c r="AB141">
        <f t="shared" si="8"/>
        <v>2.5664410811999998</v>
      </c>
      <c r="AC141">
        <f t="shared" si="8"/>
        <v>16.644541453999999</v>
      </c>
      <c r="AD141">
        <f t="shared" si="8"/>
        <v>3.4152552502</v>
      </c>
      <c r="AE141">
        <f t="shared" si="8"/>
        <v>1.1081347500000001</v>
      </c>
      <c r="AF141">
        <f t="shared" si="8"/>
        <v>0.43388575000000001</v>
      </c>
      <c r="AG141">
        <f t="shared" si="8"/>
        <v>7.3822239999999999</v>
      </c>
      <c r="AH141">
        <f t="shared" si="8"/>
        <v>34.610114999999993</v>
      </c>
      <c r="AI141">
        <f t="shared" si="8"/>
        <v>1.6570673333333332</v>
      </c>
    </row>
    <row r="142" spans="1:35" x14ac:dyDescent="0.25">
      <c r="A142" s="34" t="s">
        <v>167</v>
      </c>
      <c r="B142" t="s">
        <v>217</v>
      </c>
      <c r="C142" t="s">
        <v>220</v>
      </c>
      <c r="D142">
        <v>22</v>
      </c>
      <c r="E142">
        <v>53</v>
      </c>
      <c r="F142">
        <v>8.6199999999999992</v>
      </c>
      <c r="G142">
        <v>3.43</v>
      </c>
      <c r="H142">
        <v>13</v>
      </c>
      <c r="I142">
        <v>25</v>
      </c>
      <c r="J142">
        <v>1</v>
      </c>
      <c r="K142">
        <v>0.99280199999999996</v>
      </c>
      <c r="L142">
        <v>1373.2486819738799</v>
      </c>
      <c r="M142">
        <v>29.776630537089599</v>
      </c>
      <c r="N142">
        <v>1.3676262929596299</v>
      </c>
      <c r="O142">
        <v>1.50195823366573</v>
      </c>
      <c r="P142">
        <v>11.956111047942301</v>
      </c>
      <c r="Q142">
        <v>50.858645998882402</v>
      </c>
      <c r="R142">
        <v>44.114121483718499</v>
      </c>
      <c r="S142">
        <v>2.4955011388730259E-2</v>
      </c>
      <c r="V142">
        <v>16.919008906822452</v>
      </c>
    </row>
    <row r="143" spans="1:35" x14ac:dyDescent="0.25">
      <c r="A143" s="34" t="s">
        <v>168</v>
      </c>
      <c r="B143" t="s">
        <v>217</v>
      </c>
      <c r="C143" t="s">
        <v>220</v>
      </c>
      <c r="D143">
        <v>19</v>
      </c>
      <c r="E143">
        <v>41</v>
      </c>
      <c r="F143">
        <v>6.34</v>
      </c>
      <c r="G143">
        <v>0.96299999999999997</v>
      </c>
      <c r="H143">
        <v>17</v>
      </c>
      <c r="I143">
        <v>38</v>
      </c>
      <c r="J143">
        <v>0</v>
      </c>
      <c r="K143">
        <v>0.98200200000000004</v>
      </c>
      <c r="L143">
        <v>1319.20159562241</v>
      </c>
      <c r="M143">
        <v>31.598251724387701</v>
      </c>
      <c r="N143">
        <v>1.3822539205872499</v>
      </c>
      <c r="O143">
        <v>1.54596464641376</v>
      </c>
      <c r="P143">
        <v>10.7348074454779</v>
      </c>
      <c r="Q143">
        <v>38.329479999298798</v>
      </c>
      <c r="R143">
        <v>39.745384518603103</v>
      </c>
      <c r="S143">
        <v>2.7730532095364829E-2</v>
      </c>
      <c r="V143">
        <v>16.049987695195341</v>
      </c>
    </row>
    <row r="144" spans="1:35" x14ac:dyDescent="0.25">
      <c r="A144" s="34" t="s">
        <v>169</v>
      </c>
      <c r="B144" t="s">
        <v>217</v>
      </c>
      <c r="C144" t="s">
        <v>220</v>
      </c>
      <c r="D144">
        <v>19</v>
      </c>
      <c r="E144">
        <v>22</v>
      </c>
      <c r="F144">
        <v>8.42</v>
      </c>
      <c r="G144">
        <v>0.85</v>
      </c>
      <c r="H144">
        <v>9</v>
      </c>
      <c r="I144">
        <v>29</v>
      </c>
      <c r="J144">
        <v>0</v>
      </c>
      <c r="K144">
        <v>0.94897900000000002</v>
      </c>
      <c r="W144">
        <v>8.3752243153654204E-2</v>
      </c>
      <c r="X144">
        <v>16.2328106048828</v>
      </c>
      <c r="Y144">
        <v>6.1610430379256093E-2</v>
      </c>
      <c r="Z144">
        <v>0.95951075117971796</v>
      </c>
      <c r="AA144">
        <v>1.3973242705116631</v>
      </c>
      <c r="AB144">
        <v>2.7039372685367979</v>
      </c>
      <c r="AC144">
        <v>14.84311213499924</v>
      </c>
      <c r="AD144">
        <v>2.8303931881210729</v>
      </c>
    </row>
    <row r="145" spans="1:35" x14ac:dyDescent="0.25">
      <c r="A145" s="34" t="s">
        <v>170</v>
      </c>
      <c r="B145" t="s">
        <v>217</v>
      </c>
      <c r="C145" t="s">
        <v>220</v>
      </c>
      <c r="D145">
        <v>22</v>
      </c>
      <c r="E145">
        <v>35</v>
      </c>
      <c r="F145">
        <v>6.22</v>
      </c>
      <c r="G145">
        <v>0.89300000000000002</v>
      </c>
      <c r="H145">
        <v>7</v>
      </c>
      <c r="I145">
        <v>40</v>
      </c>
      <c r="J145">
        <v>2</v>
      </c>
      <c r="K145">
        <v>0.94484000000000001</v>
      </c>
      <c r="W145">
        <v>8.5991328097335964E-2</v>
      </c>
      <c r="X145">
        <v>17.458937433814189</v>
      </c>
      <c r="Y145">
        <v>5.4065442726387351E-2</v>
      </c>
      <c r="Z145">
        <v>1.1327359836224351</v>
      </c>
      <c r="AA145">
        <v>1.5293665112361829</v>
      </c>
      <c r="AB145">
        <v>3.460422251700829</v>
      </c>
      <c r="AC145">
        <v>14.738577221979041</v>
      </c>
      <c r="AD145">
        <v>3.6826142579370829</v>
      </c>
    </row>
    <row r="146" spans="1:35" x14ac:dyDescent="0.25">
      <c r="A146" s="34" t="s">
        <v>171</v>
      </c>
      <c r="B146" t="s">
        <v>217</v>
      </c>
      <c r="C146" t="s">
        <v>220</v>
      </c>
      <c r="D146">
        <v>42</v>
      </c>
      <c r="E146">
        <v>37</v>
      </c>
      <c r="F146">
        <v>7.34</v>
      </c>
      <c r="G146">
        <v>1.3</v>
      </c>
      <c r="H146">
        <v>19</v>
      </c>
      <c r="I146">
        <v>22</v>
      </c>
      <c r="J146">
        <v>1</v>
      </c>
      <c r="K146">
        <v>0.89244000000000001</v>
      </c>
      <c r="W146">
        <v>8.4821565638609667E-2</v>
      </c>
      <c r="X146">
        <v>17.167952509753292</v>
      </c>
      <c r="Y146">
        <v>5.8250850876965958E-2</v>
      </c>
      <c r="Z146">
        <v>1.00524356668468</v>
      </c>
      <c r="AA146">
        <v>1.3856103488473219</v>
      </c>
      <c r="AB146">
        <v>3.5791559465364871</v>
      </c>
      <c r="AC146">
        <v>14.53629210420894</v>
      </c>
      <c r="AD146">
        <v>2.827296605090623</v>
      </c>
    </row>
    <row r="147" spans="1:35" x14ac:dyDescent="0.25">
      <c r="A147" s="34" t="s">
        <v>172</v>
      </c>
      <c r="B147" t="s">
        <v>217</v>
      </c>
      <c r="C147" t="s">
        <v>220</v>
      </c>
      <c r="D147">
        <v>38</v>
      </c>
      <c r="E147">
        <v>35</v>
      </c>
      <c r="F147">
        <v>11.2</v>
      </c>
      <c r="G147">
        <v>1.25</v>
      </c>
      <c r="H147">
        <v>10</v>
      </c>
      <c r="I147">
        <v>31</v>
      </c>
      <c r="J147">
        <v>0</v>
      </c>
      <c r="K147">
        <v>0.90982200000000002</v>
      </c>
      <c r="W147">
        <v>9.0963195649278988E-2</v>
      </c>
      <c r="X147">
        <v>15.58322858055028</v>
      </c>
      <c r="Y147">
        <v>6.4039091737799814E-2</v>
      </c>
      <c r="Z147">
        <v>1.1305249632009291</v>
      </c>
      <c r="AA147">
        <v>1.4641720644445351</v>
      </c>
      <c r="AB147">
        <v>2.9073249575634299</v>
      </c>
      <c r="AC147">
        <v>14.017302450593411</v>
      </c>
      <c r="AD147">
        <v>2.3120002419411958</v>
      </c>
    </row>
    <row r="148" spans="1:35" x14ac:dyDescent="0.25">
      <c r="A148" s="34" t="s">
        <v>173</v>
      </c>
      <c r="B148" t="s">
        <v>217</v>
      </c>
      <c r="C148" t="s">
        <v>220</v>
      </c>
      <c r="D148">
        <v>37</v>
      </c>
      <c r="E148">
        <v>27</v>
      </c>
      <c r="F148">
        <v>7.91</v>
      </c>
      <c r="G148">
        <v>1.1299999999999999</v>
      </c>
      <c r="H148">
        <v>14</v>
      </c>
      <c r="I148">
        <v>36</v>
      </c>
      <c r="J148">
        <v>0</v>
      </c>
      <c r="K148">
        <v>0.97083299999999995</v>
      </c>
      <c r="W148">
        <v>7.9969002938243813E-2</v>
      </c>
      <c r="X148">
        <v>18.657401230893811</v>
      </c>
      <c r="Y148">
        <v>5.3598775963828761E-2</v>
      </c>
      <c r="Z148">
        <v>0.95369790718059855</v>
      </c>
      <c r="AA148">
        <v>1.3077978246862341</v>
      </c>
      <c r="AB148">
        <v>3.1016208839011421</v>
      </c>
      <c r="AC148">
        <v>17.290132254860129</v>
      </c>
      <c r="AD148">
        <v>2.4476991239578831</v>
      </c>
    </row>
    <row r="149" spans="1:35" x14ac:dyDescent="0.25">
      <c r="A149" s="34" t="s">
        <v>174</v>
      </c>
      <c r="B149" t="s">
        <v>217</v>
      </c>
      <c r="C149" t="s">
        <v>220</v>
      </c>
      <c r="D149">
        <v>26</v>
      </c>
      <c r="E149">
        <v>26</v>
      </c>
      <c r="F149">
        <v>9.2100000000000009</v>
      </c>
      <c r="G149">
        <v>2.2999999999999998</v>
      </c>
      <c r="H149">
        <v>11</v>
      </c>
      <c r="I149">
        <v>27</v>
      </c>
      <c r="J149">
        <v>1</v>
      </c>
      <c r="K149">
        <v>0.97114599999999995</v>
      </c>
      <c r="W149">
        <v>7.9866267200798299E-2</v>
      </c>
      <c r="X149">
        <v>19.415372207152402</v>
      </c>
      <c r="Y149">
        <v>5.1507614208122797E-2</v>
      </c>
      <c r="Z149">
        <v>0.91288448708096703</v>
      </c>
      <c r="AA149">
        <v>0.30460658831906801</v>
      </c>
      <c r="AB149">
        <v>3.5169419163229998</v>
      </c>
      <c r="AC149">
        <v>18.163961626804699</v>
      </c>
      <c r="AD149">
        <v>1.7851207172588901</v>
      </c>
    </row>
    <row r="150" spans="1:35" x14ac:dyDescent="0.25">
      <c r="A150" s="34" t="s">
        <v>175</v>
      </c>
      <c r="B150" t="s">
        <v>217</v>
      </c>
      <c r="C150" t="s">
        <v>220</v>
      </c>
      <c r="D150">
        <v>19</v>
      </c>
      <c r="E150">
        <v>23</v>
      </c>
      <c r="F150">
        <v>8.44</v>
      </c>
      <c r="G150">
        <v>2.4</v>
      </c>
      <c r="H150">
        <v>15</v>
      </c>
      <c r="I150">
        <v>42</v>
      </c>
      <c r="J150">
        <v>0</v>
      </c>
      <c r="K150">
        <v>0.99311000000000005</v>
      </c>
      <c r="W150">
        <v>8.4338895004360107E-2</v>
      </c>
      <c r="X150">
        <v>19.3067584800792</v>
      </c>
      <c r="Y150">
        <v>5.1853249817724899E-2</v>
      </c>
      <c r="Z150">
        <v>1.02938233114984</v>
      </c>
      <c r="AA150">
        <v>0.36191870342506699</v>
      </c>
      <c r="AB150">
        <v>3.6133264078593301</v>
      </c>
      <c r="AC150">
        <v>16.666491842610199</v>
      </c>
      <c r="AD150">
        <v>3.1393182982349899</v>
      </c>
    </row>
    <row r="151" spans="1:35" x14ac:dyDescent="0.25">
      <c r="A151" s="34" t="s">
        <v>176</v>
      </c>
      <c r="B151" t="s">
        <v>217</v>
      </c>
      <c r="C151" t="s">
        <v>220</v>
      </c>
      <c r="D151">
        <v>36</v>
      </c>
      <c r="E151">
        <v>24</v>
      </c>
      <c r="F151">
        <v>9.33</v>
      </c>
      <c r="G151">
        <v>7.43</v>
      </c>
      <c r="H151">
        <v>8</v>
      </c>
      <c r="I151">
        <v>33</v>
      </c>
      <c r="J151">
        <v>1</v>
      </c>
      <c r="K151">
        <v>0.98326999999999998</v>
      </c>
      <c r="W151">
        <v>9.4177026453405505E-2</v>
      </c>
      <c r="X151">
        <v>16.670714390000001</v>
      </c>
      <c r="Y151">
        <v>6.0002685E-2</v>
      </c>
      <c r="Z151">
        <v>1.0473307300000001</v>
      </c>
      <c r="AA151">
        <v>0.16471817799999999</v>
      </c>
      <c r="AB151">
        <v>2.6733960200000002</v>
      </c>
      <c r="AC151">
        <v>16.452318500000001</v>
      </c>
      <c r="AD151">
        <v>2.3471282200000001</v>
      </c>
    </row>
    <row r="152" spans="1:35" x14ac:dyDescent="0.25">
      <c r="A152" s="34" t="s">
        <v>177</v>
      </c>
      <c r="B152" t="s">
        <v>217</v>
      </c>
      <c r="C152" t="s">
        <v>220</v>
      </c>
      <c r="W152">
        <v>8.6994236314069703E-2</v>
      </c>
      <c r="X152">
        <v>18.009801800000002</v>
      </c>
      <c r="Y152">
        <v>5.5555011000000001E-2</v>
      </c>
      <c r="Z152">
        <v>0.94840184800000005</v>
      </c>
      <c r="AA152">
        <v>0.17736275100000001</v>
      </c>
      <c r="AB152">
        <v>2.964050345</v>
      </c>
      <c r="AC152">
        <v>16.50344604</v>
      </c>
      <c r="AD152">
        <v>1.7609925209999999</v>
      </c>
    </row>
    <row r="153" spans="1:35" x14ac:dyDescent="0.25">
      <c r="A153" s="34" t="s">
        <v>178</v>
      </c>
      <c r="B153" t="s">
        <v>217</v>
      </c>
      <c r="C153" t="s">
        <v>220</v>
      </c>
      <c r="W153">
        <v>8.6390844999999994E-2</v>
      </c>
      <c r="X153">
        <v>17.250319279999999</v>
      </c>
      <c r="Y153">
        <v>5.7992306E-2</v>
      </c>
      <c r="Z153">
        <v>0.97575271500000005</v>
      </c>
      <c r="AA153">
        <v>0.14731660499999999</v>
      </c>
      <c r="AB153">
        <v>2.204889337</v>
      </c>
      <c r="AC153">
        <v>17.321975399999999</v>
      </c>
      <c r="AD153">
        <v>2.6920715290000001</v>
      </c>
    </row>
    <row r="154" spans="1:35" x14ac:dyDescent="0.25">
      <c r="A154" s="34" t="s">
        <v>179</v>
      </c>
      <c r="B154" t="s">
        <v>217</v>
      </c>
      <c r="C154" t="s">
        <v>220</v>
      </c>
      <c r="AE154">
        <v>0.98809499999999995</v>
      </c>
      <c r="AF154">
        <v>0.3125</v>
      </c>
      <c r="AG154">
        <v>6.0340040000000004</v>
      </c>
      <c r="AH154">
        <v>24.064350000000001</v>
      </c>
      <c r="AI154">
        <v>1.7034560000000001</v>
      </c>
    </row>
    <row r="155" spans="1:35" x14ac:dyDescent="0.25">
      <c r="A155" s="34" t="s">
        <v>180</v>
      </c>
      <c r="B155" t="s">
        <v>217</v>
      </c>
      <c r="C155" t="s">
        <v>220</v>
      </c>
      <c r="AE155">
        <v>0.89285700000000001</v>
      </c>
      <c r="AF155">
        <v>0.27777800000000002</v>
      </c>
      <c r="AG155">
        <v>4.0917690000000002</v>
      </c>
      <c r="AH155">
        <v>24.064340000000001</v>
      </c>
      <c r="AI155">
        <v>1.588527</v>
      </c>
    </row>
    <row r="156" spans="1:35" x14ac:dyDescent="0.25">
      <c r="A156" s="34" t="s">
        <v>181</v>
      </c>
      <c r="B156" t="s">
        <v>217</v>
      </c>
      <c r="C156" t="s">
        <v>220</v>
      </c>
      <c r="AE156">
        <v>0.97916700000000001</v>
      </c>
      <c r="AF156">
        <v>0.27281699999999998</v>
      </c>
      <c r="AG156">
        <v>3.6182349999999999</v>
      </c>
      <c r="AH156">
        <v>28.906549999999999</v>
      </c>
      <c r="AI156">
        <v>1.6519699999999999</v>
      </c>
    </row>
    <row r="157" spans="1:35" x14ac:dyDescent="0.25">
      <c r="A157" s="21" t="s">
        <v>50</v>
      </c>
      <c r="D157">
        <f>AVERAGE(D142:D156)</f>
        <v>28</v>
      </c>
      <c r="E157">
        <f t="shared" ref="E157:AI157" si="9">AVERAGE(E142:E156)</f>
        <v>32.299999999999997</v>
      </c>
      <c r="F157">
        <f t="shared" si="9"/>
        <v>8.302999999999999</v>
      </c>
      <c r="G157">
        <f t="shared" si="9"/>
        <v>2.1945999999999999</v>
      </c>
      <c r="H157">
        <f t="shared" si="9"/>
        <v>12.3</v>
      </c>
      <c r="I157">
        <f t="shared" si="9"/>
        <v>32.299999999999997</v>
      </c>
      <c r="J157">
        <f t="shared" si="9"/>
        <v>0.6</v>
      </c>
      <c r="K157">
        <f t="shared" si="9"/>
        <v>0.9589243999999999</v>
      </c>
      <c r="L157">
        <f t="shared" si="9"/>
        <v>1346.2251387981451</v>
      </c>
      <c r="M157">
        <f t="shared" si="9"/>
        <v>30.687441130738648</v>
      </c>
      <c r="N157">
        <f t="shared" si="9"/>
        <v>1.3749401067734399</v>
      </c>
      <c r="O157">
        <f t="shared" si="9"/>
        <v>1.523961440039745</v>
      </c>
      <c r="P157">
        <f t="shared" si="9"/>
        <v>11.345459246710099</v>
      </c>
      <c r="Q157">
        <f t="shared" si="9"/>
        <v>44.594062999090596</v>
      </c>
      <c r="R157">
        <f t="shared" si="9"/>
        <v>41.929753001160805</v>
      </c>
      <c r="S157">
        <f t="shared" si="9"/>
        <v>2.6342771742047542E-2</v>
      </c>
      <c r="T157" t="e">
        <f t="shared" si="9"/>
        <v>#DIV/0!</v>
      </c>
      <c r="U157" t="e">
        <f t="shared" si="9"/>
        <v>#DIV/0!</v>
      </c>
      <c r="V157">
        <f t="shared" si="9"/>
        <v>16.484498301008898</v>
      </c>
      <c r="W157">
        <f t="shared" si="9"/>
        <v>8.5726460544975611E-2</v>
      </c>
      <c r="X157">
        <f t="shared" si="9"/>
        <v>17.575329651712593</v>
      </c>
      <c r="Y157">
        <f t="shared" si="9"/>
        <v>5.6847545771008569E-2</v>
      </c>
      <c r="Z157">
        <f t="shared" si="9"/>
        <v>1.0095465283099168</v>
      </c>
      <c r="AA157">
        <f t="shared" si="9"/>
        <v>0.82401938454700718</v>
      </c>
      <c r="AB157">
        <f t="shared" si="9"/>
        <v>3.0725065334421018</v>
      </c>
      <c r="AC157">
        <f t="shared" si="9"/>
        <v>16.053360957605566</v>
      </c>
      <c r="AD157">
        <f t="shared" si="9"/>
        <v>2.582463470254174</v>
      </c>
      <c r="AE157">
        <f t="shared" si="9"/>
        <v>0.95337300000000003</v>
      </c>
      <c r="AF157">
        <f t="shared" si="9"/>
        <v>0.28769833333333333</v>
      </c>
      <c r="AG157">
        <f t="shared" si="9"/>
        <v>4.5813360000000003</v>
      </c>
      <c r="AH157">
        <f t="shared" si="9"/>
        <v>25.678413333333335</v>
      </c>
      <c r="AI157">
        <f t="shared" si="9"/>
        <v>1.6479843333333335</v>
      </c>
    </row>
    <row r="158" spans="1:35" x14ac:dyDescent="0.25">
      <c r="A158" s="35" t="s">
        <v>182</v>
      </c>
      <c r="B158" t="s">
        <v>218</v>
      </c>
      <c r="C158" t="s">
        <v>219</v>
      </c>
      <c r="D158">
        <v>16</v>
      </c>
      <c r="E158">
        <v>22</v>
      </c>
      <c r="F158">
        <v>2.48</v>
      </c>
      <c r="G158">
        <v>1.27</v>
      </c>
      <c r="H158">
        <v>12</v>
      </c>
      <c r="I158">
        <v>21</v>
      </c>
      <c r="J158">
        <v>0</v>
      </c>
      <c r="K158">
        <v>0.92410000000000003</v>
      </c>
      <c r="L158">
        <v>1486.2799024436199</v>
      </c>
      <c r="M158">
        <v>30.641584977620901</v>
      </c>
      <c r="N158">
        <v>1.26954287620954</v>
      </c>
      <c r="O158">
        <v>1.6771734788035999</v>
      </c>
      <c r="P158">
        <v>14.9575401828405</v>
      </c>
      <c r="Q158">
        <v>49.294209736036002</v>
      </c>
      <c r="R158">
        <v>77.504850056603601</v>
      </c>
      <c r="S158">
        <v>0.27800000000000002</v>
      </c>
      <c r="T158">
        <v>0.68749958527861499</v>
      </c>
      <c r="U158">
        <v>0.377976856373689</v>
      </c>
      <c r="V158">
        <v>16.023</v>
      </c>
    </row>
    <row r="159" spans="1:35" x14ac:dyDescent="0.25">
      <c r="A159" s="35" t="s">
        <v>183</v>
      </c>
      <c r="B159" t="s">
        <v>218</v>
      </c>
      <c r="C159" t="s">
        <v>219</v>
      </c>
      <c r="D159">
        <v>14</v>
      </c>
      <c r="E159">
        <v>25</v>
      </c>
      <c r="F159">
        <v>6.61</v>
      </c>
      <c r="G159">
        <v>0.82</v>
      </c>
      <c r="H159">
        <v>15</v>
      </c>
      <c r="I159">
        <v>38</v>
      </c>
      <c r="J159">
        <v>1</v>
      </c>
      <c r="K159">
        <v>0.93420999999999998</v>
      </c>
      <c r="L159">
        <v>1420.34014671153</v>
      </c>
      <c r="M159">
        <v>49.164036326182902</v>
      </c>
      <c r="N159">
        <v>1.0456983650317</v>
      </c>
      <c r="O159">
        <v>1.4951560987668</v>
      </c>
      <c r="P159">
        <v>7.3693765492461898</v>
      </c>
      <c r="Q159">
        <v>23.353023230860799</v>
      </c>
      <c r="R159">
        <v>44.812268605761297</v>
      </c>
      <c r="S159">
        <v>2.3699999999999999E-2</v>
      </c>
      <c r="T159">
        <v>0.243228130862127</v>
      </c>
      <c r="U159">
        <v>0.149390378040169</v>
      </c>
      <c r="V159">
        <v>17.374199999999998</v>
      </c>
    </row>
    <row r="160" spans="1:35" x14ac:dyDescent="0.25">
      <c r="A160" s="35" t="s">
        <v>184</v>
      </c>
      <c r="B160" t="s">
        <v>218</v>
      </c>
      <c r="C160" t="s">
        <v>219</v>
      </c>
      <c r="D160">
        <v>20</v>
      </c>
      <c r="E160">
        <v>32</v>
      </c>
      <c r="F160">
        <v>1.59</v>
      </c>
      <c r="G160">
        <v>3.5</v>
      </c>
      <c r="H160">
        <v>9</v>
      </c>
      <c r="I160">
        <v>29</v>
      </c>
      <c r="J160">
        <v>3</v>
      </c>
      <c r="K160">
        <v>0.93222000000000005</v>
      </c>
      <c r="L160">
        <v>1282.37645669577</v>
      </c>
      <c r="M160">
        <v>41.730786767544799</v>
      </c>
      <c r="N160">
        <v>1.2531685018351699</v>
      </c>
      <c r="O160">
        <v>1.39276249303642</v>
      </c>
      <c r="P160">
        <v>6.8042120094290102</v>
      </c>
      <c r="Q160">
        <v>27.064791113547201</v>
      </c>
      <c r="R160">
        <v>47.878540104710098</v>
      </c>
      <c r="S160">
        <v>1.55E-2</v>
      </c>
      <c r="T160">
        <v>0.33130853008807398</v>
      </c>
      <c r="U160">
        <v>0.17362204944154899</v>
      </c>
      <c r="V160">
        <v>21.477799999999998</v>
      </c>
    </row>
    <row r="161" spans="1:35" x14ac:dyDescent="0.25">
      <c r="A161" s="35" t="s">
        <v>185</v>
      </c>
      <c r="B161" t="s">
        <v>218</v>
      </c>
      <c r="C161" t="s">
        <v>219</v>
      </c>
      <c r="D161">
        <v>13</v>
      </c>
      <c r="E161">
        <v>15</v>
      </c>
      <c r="F161">
        <v>2.5299999999999998</v>
      </c>
      <c r="G161">
        <v>5.2</v>
      </c>
      <c r="H161">
        <v>8</v>
      </c>
      <c r="I161">
        <v>34</v>
      </c>
      <c r="J161">
        <v>0</v>
      </c>
      <c r="K161">
        <v>0.92112000000000005</v>
      </c>
      <c r="L161">
        <v>1097.30406795729</v>
      </c>
      <c r="M161">
        <v>53.2264033369975</v>
      </c>
      <c r="N161">
        <v>1.09078945612279</v>
      </c>
      <c r="O161">
        <v>1.36377948936826</v>
      </c>
      <c r="P161">
        <v>3.8030710963207701</v>
      </c>
      <c r="Q161">
        <v>18.947510290634899</v>
      </c>
      <c r="R161">
        <v>31.023552140853798</v>
      </c>
      <c r="S161">
        <v>4.9899161438102212E-2</v>
      </c>
      <c r="T161">
        <v>0.23147295436521301</v>
      </c>
      <c r="U161">
        <v>0.15018515923706299</v>
      </c>
      <c r="V161">
        <v>22.529900000000001</v>
      </c>
    </row>
    <row r="162" spans="1:35" x14ac:dyDescent="0.25">
      <c r="A162" s="35" t="s">
        <v>186</v>
      </c>
      <c r="B162" t="s">
        <v>218</v>
      </c>
      <c r="C162" t="s">
        <v>219</v>
      </c>
      <c r="D162">
        <v>10</v>
      </c>
      <c r="E162">
        <v>26</v>
      </c>
      <c r="F162">
        <v>2.1</v>
      </c>
      <c r="G162">
        <v>4.3</v>
      </c>
      <c r="H162">
        <v>20</v>
      </c>
      <c r="I162">
        <v>26</v>
      </c>
      <c r="J162">
        <v>2</v>
      </c>
      <c r="K162">
        <v>0.91700000000000004</v>
      </c>
      <c r="L162">
        <v>1281.6469405688299</v>
      </c>
      <c r="M162">
        <v>42.562256511026</v>
      </c>
      <c r="N162">
        <v>1.1046006006005999</v>
      </c>
      <c r="O162">
        <v>1.6463312163560599</v>
      </c>
      <c r="P162">
        <v>7.7640779219009701</v>
      </c>
      <c r="Q162">
        <v>27.5282105300777</v>
      </c>
      <c r="R162">
        <v>46.8496662900261</v>
      </c>
      <c r="S162">
        <v>3.2234010599624767E-2</v>
      </c>
      <c r="T162">
        <v>0.26859831333114798</v>
      </c>
      <c r="U162">
        <v>0.205392119564033</v>
      </c>
      <c r="V162">
        <v>18.511500000000002</v>
      </c>
    </row>
    <row r="163" spans="1:35" x14ac:dyDescent="0.25">
      <c r="A163" s="35" t="s">
        <v>187</v>
      </c>
      <c r="B163" t="s">
        <v>218</v>
      </c>
      <c r="C163" t="s">
        <v>219</v>
      </c>
      <c r="W163">
        <v>8.8262620999999999E-2</v>
      </c>
      <c r="X163">
        <v>16.566354459999999</v>
      </c>
      <c r="Y163">
        <v>6.0380175524959473E-2</v>
      </c>
      <c r="Z163">
        <v>1.115013931</v>
      </c>
      <c r="AA163">
        <v>1.290690662</v>
      </c>
      <c r="AB163">
        <v>3.107464206</v>
      </c>
      <c r="AC163">
        <v>14.959438410000001</v>
      </c>
      <c r="AD163">
        <v>4.7891115859999998</v>
      </c>
    </row>
    <row r="164" spans="1:35" x14ac:dyDescent="0.25">
      <c r="A164" s="35" t="s">
        <v>188</v>
      </c>
      <c r="B164" t="s">
        <v>218</v>
      </c>
      <c r="C164" t="s">
        <v>219</v>
      </c>
      <c r="AE164">
        <v>1.0333330000000001</v>
      </c>
      <c r="AF164">
        <v>0.42083300000000001</v>
      </c>
      <c r="AG164">
        <v>7.0921409999999998</v>
      </c>
      <c r="AH164">
        <v>25.936039999999998</v>
      </c>
      <c r="AI164">
        <v>2.015701</v>
      </c>
    </row>
    <row r="165" spans="1:35" x14ac:dyDescent="0.25">
      <c r="A165" s="35" t="s">
        <v>189</v>
      </c>
      <c r="B165" t="s">
        <v>218</v>
      </c>
      <c r="C165" t="s">
        <v>219</v>
      </c>
      <c r="AE165">
        <v>0.97395799999999999</v>
      </c>
      <c r="AF165">
        <v>0.51885099999999995</v>
      </c>
      <c r="AG165">
        <v>7.2625450000000003</v>
      </c>
      <c r="AH165">
        <v>22.2758</v>
      </c>
      <c r="AI165">
        <v>1.9009959999999999</v>
      </c>
    </row>
    <row r="166" spans="1:35" x14ac:dyDescent="0.25">
      <c r="A166" s="35" t="s">
        <v>190</v>
      </c>
      <c r="B166" t="s">
        <v>218</v>
      </c>
      <c r="C166" t="s">
        <v>219</v>
      </c>
      <c r="AE166">
        <v>1.4409719999999999</v>
      </c>
      <c r="AF166">
        <v>0.43402800000000002</v>
      </c>
      <c r="AG166">
        <v>7.2592129999999999</v>
      </c>
      <c r="AH166">
        <v>25.89536</v>
      </c>
      <c r="AI166">
        <v>1.608417</v>
      </c>
    </row>
    <row r="167" spans="1:35" x14ac:dyDescent="0.25">
      <c r="A167" s="35" t="s">
        <v>191</v>
      </c>
      <c r="B167" t="s">
        <v>218</v>
      </c>
      <c r="C167" t="s">
        <v>219</v>
      </c>
      <c r="AE167">
        <v>0.54824600000000001</v>
      </c>
      <c r="AG167">
        <v>8.4249189999999992</v>
      </c>
      <c r="AH167">
        <v>27.766580000000001</v>
      </c>
      <c r="AI167">
        <v>1.641737</v>
      </c>
    </row>
    <row r="168" spans="1:35" x14ac:dyDescent="0.25">
      <c r="A168" s="35" t="s">
        <v>192</v>
      </c>
      <c r="B168" t="s">
        <v>218</v>
      </c>
      <c r="C168" t="s">
        <v>219</v>
      </c>
      <c r="AE168">
        <v>0.80978300000000003</v>
      </c>
      <c r="AG168">
        <v>5.526484</v>
      </c>
    </row>
    <row r="169" spans="1:35" x14ac:dyDescent="0.25">
      <c r="A169" s="21" t="s">
        <v>50</v>
      </c>
      <c r="D169">
        <f>AVERAGE(D158:D168)</f>
        <v>14.6</v>
      </c>
      <c r="E169">
        <f t="shared" ref="E169:AI169" si="10">AVERAGE(E158:E168)</f>
        <v>24</v>
      </c>
      <c r="F169">
        <f t="shared" si="10"/>
        <v>3.0619999999999998</v>
      </c>
      <c r="G169">
        <f t="shared" si="10"/>
        <v>3.0179999999999998</v>
      </c>
      <c r="H169">
        <f t="shared" si="10"/>
        <v>12.8</v>
      </c>
      <c r="I169">
        <f t="shared" si="10"/>
        <v>29.6</v>
      </c>
      <c r="J169">
        <f t="shared" si="10"/>
        <v>1.2</v>
      </c>
      <c r="K169">
        <f t="shared" si="10"/>
        <v>0.92573000000000005</v>
      </c>
      <c r="L169">
        <f t="shared" si="10"/>
        <v>1313.589502875408</v>
      </c>
      <c r="M169">
        <f t="shared" si="10"/>
        <v>43.465013583874416</v>
      </c>
      <c r="N169">
        <f t="shared" si="10"/>
        <v>1.1527599599599598</v>
      </c>
      <c r="O169">
        <f t="shared" si="10"/>
        <v>1.5150405552662281</v>
      </c>
      <c r="P169">
        <f t="shared" si="10"/>
        <v>8.139655551947488</v>
      </c>
      <c r="Q169">
        <f t="shared" si="10"/>
        <v>29.23754898023132</v>
      </c>
      <c r="R169">
        <f t="shared" si="10"/>
        <v>49.613775439590981</v>
      </c>
      <c r="S169">
        <f t="shared" si="10"/>
        <v>7.9866634407545406E-2</v>
      </c>
      <c r="T169">
        <f t="shared" si="10"/>
        <v>0.35242150278503537</v>
      </c>
      <c r="U169">
        <f t="shared" si="10"/>
        <v>0.21131331253130062</v>
      </c>
      <c r="V169">
        <f t="shared" si="10"/>
        <v>19.18328</v>
      </c>
      <c r="W169">
        <f t="shared" si="10"/>
        <v>8.8262620999999999E-2</v>
      </c>
      <c r="X169">
        <f t="shared" si="10"/>
        <v>16.566354459999999</v>
      </c>
      <c r="Y169">
        <f t="shared" si="10"/>
        <v>6.0380175524959473E-2</v>
      </c>
      <c r="Z169">
        <f t="shared" si="10"/>
        <v>1.115013931</v>
      </c>
      <c r="AA169">
        <f t="shared" si="10"/>
        <v>1.290690662</v>
      </c>
      <c r="AB169">
        <f t="shared" si="10"/>
        <v>3.107464206</v>
      </c>
      <c r="AC169">
        <f t="shared" si="10"/>
        <v>14.959438410000001</v>
      </c>
      <c r="AD169">
        <f t="shared" si="10"/>
        <v>4.7891115859999998</v>
      </c>
      <c r="AE169">
        <f t="shared" si="10"/>
        <v>0.96125839999999996</v>
      </c>
      <c r="AF169">
        <f t="shared" si="10"/>
        <v>0.45790400000000003</v>
      </c>
      <c r="AG169">
        <f t="shared" si="10"/>
        <v>7.1130604000000002</v>
      </c>
      <c r="AH169">
        <f t="shared" si="10"/>
        <v>25.468444999999999</v>
      </c>
      <c r="AI169">
        <f t="shared" si="10"/>
        <v>1.7917127500000001</v>
      </c>
    </row>
    <row r="170" spans="1:35" x14ac:dyDescent="0.25">
      <c r="A170" s="34" t="s">
        <v>193</v>
      </c>
      <c r="B170" t="s">
        <v>218</v>
      </c>
      <c r="C170" t="s">
        <v>220</v>
      </c>
      <c r="D170">
        <v>16</v>
      </c>
      <c r="E170">
        <v>22</v>
      </c>
      <c r="K170">
        <v>0.91059999999999997</v>
      </c>
      <c r="L170">
        <v>1343.9167099574199</v>
      </c>
      <c r="M170">
        <v>32.2879319757077</v>
      </c>
      <c r="N170">
        <v>1.3828888888888899</v>
      </c>
      <c r="O170">
        <v>1.4686496293406199</v>
      </c>
      <c r="P170">
        <v>12.690902512685501</v>
      </c>
      <c r="Q170">
        <v>49.6799575242228</v>
      </c>
      <c r="R170">
        <v>66.032686955252998</v>
      </c>
      <c r="S170">
        <v>1.6755587383777321E-2</v>
      </c>
      <c r="T170">
        <v>0.39632110682859101</v>
      </c>
      <c r="U170">
        <v>0.24797427255503501</v>
      </c>
      <c r="V170">
        <v>6.1972931211918957E-2</v>
      </c>
    </row>
    <row r="171" spans="1:35" x14ac:dyDescent="0.25">
      <c r="A171" s="34" t="s">
        <v>194</v>
      </c>
      <c r="B171" t="s">
        <v>218</v>
      </c>
      <c r="C171" t="s">
        <v>220</v>
      </c>
      <c r="L171">
        <v>1245.7757319509701</v>
      </c>
      <c r="M171">
        <v>41.8873658208256</v>
      </c>
      <c r="N171">
        <v>1.2893109776443099</v>
      </c>
      <c r="O171">
        <v>1.4629051072129899</v>
      </c>
      <c r="P171">
        <v>7.8306406926676004</v>
      </c>
      <c r="Q171">
        <v>31.454495627717002</v>
      </c>
      <c r="R171">
        <v>46.231032000540203</v>
      </c>
      <c r="S171">
        <v>2.7695076162337622E-2</v>
      </c>
      <c r="T171">
        <v>0.274537886924899</v>
      </c>
      <c r="U171">
        <v>0.21003604904704801</v>
      </c>
      <c r="V171">
        <v>6.7337723549677098E-2</v>
      </c>
    </row>
    <row r="172" spans="1:35" x14ac:dyDescent="0.25">
      <c r="A172" s="34" t="s">
        <v>195</v>
      </c>
      <c r="B172" t="s">
        <v>218</v>
      </c>
      <c r="C172" t="s">
        <v>220</v>
      </c>
      <c r="L172">
        <v>1234.93492715664</v>
      </c>
      <c r="M172">
        <v>44.483855506049601</v>
      </c>
      <c r="N172">
        <v>1.3367657657657701</v>
      </c>
      <c r="O172">
        <v>1.2713468731917801</v>
      </c>
      <c r="P172">
        <v>5.8980195606795203</v>
      </c>
      <c r="Q172">
        <v>22.186918958120302</v>
      </c>
      <c r="R172">
        <v>42.931747443942498</v>
      </c>
      <c r="S172">
        <v>4.1242892608714547E-2</v>
      </c>
      <c r="T172">
        <v>0.28577437469668099</v>
      </c>
      <c r="U172">
        <v>9.7765481827369896E-2</v>
      </c>
      <c r="V172">
        <v>9.8698960335498992E-2</v>
      </c>
    </row>
    <row r="173" spans="1:35" x14ac:dyDescent="0.25">
      <c r="A173" s="34" t="s">
        <v>196</v>
      </c>
      <c r="B173" t="s">
        <v>218</v>
      </c>
      <c r="C173" t="s">
        <v>220</v>
      </c>
      <c r="L173">
        <v>1202.53762815404</v>
      </c>
      <c r="M173">
        <v>45.209575721543402</v>
      </c>
      <c r="N173">
        <v>1.20767867867868</v>
      </c>
      <c r="O173">
        <v>1.3311595143536401</v>
      </c>
      <c r="P173">
        <v>5.83702025536458</v>
      </c>
      <c r="Q173">
        <v>24.358191007774899</v>
      </c>
      <c r="R173">
        <v>40.994916985493099</v>
      </c>
      <c r="S173">
        <v>3.7243880104980719E-2</v>
      </c>
      <c r="T173">
        <v>0.261231275791932</v>
      </c>
      <c r="U173">
        <v>0.112004877099325</v>
      </c>
      <c r="V173">
        <v>9.2211881509658977E-2</v>
      </c>
    </row>
    <row r="174" spans="1:35" x14ac:dyDescent="0.25">
      <c r="A174" s="34" t="s">
        <v>197</v>
      </c>
      <c r="B174" t="s">
        <v>218</v>
      </c>
      <c r="C174" t="s">
        <v>220</v>
      </c>
      <c r="L174">
        <v>1063.5968890174299</v>
      </c>
      <c r="M174">
        <v>55.145044810587002</v>
      </c>
      <c r="N174">
        <v>1.1432002002002</v>
      </c>
      <c r="O174">
        <v>1.12708346516631</v>
      </c>
      <c r="P174">
        <v>2.57476822247411</v>
      </c>
      <c r="Q174">
        <v>17.1527308013161</v>
      </c>
      <c r="R174">
        <v>28.809611778018301</v>
      </c>
      <c r="S174">
        <v>5.6823174357490867E-2</v>
      </c>
      <c r="T174">
        <v>0.22103461868556201</v>
      </c>
      <c r="U174">
        <v>9.22658001078836E-2</v>
      </c>
      <c r="V174">
        <v>0.10159795686329411</v>
      </c>
    </row>
    <row r="175" spans="1:35" x14ac:dyDescent="0.25">
      <c r="A175" s="34" t="s">
        <v>198</v>
      </c>
      <c r="B175" t="s">
        <v>218</v>
      </c>
      <c r="C175" t="s">
        <v>220</v>
      </c>
      <c r="W175">
        <v>4.6945452999999998E-2</v>
      </c>
      <c r="X175">
        <v>45.416733370000003</v>
      </c>
      <c r="Y175">
        <v>2.2158859999999999E-2</v>
      </c>
      <c r="Z175">
        <v>0.62396100600000004</v>
      </c>
      <c r="AA175">
        <v>1.983796889</v>
      </c>
      <c r="AB175">
        <v>9.9042541289999999</v>
      </c>
      <c r="AC175">
        <v>24.196694780000001</v>
      </c>
      <c r="AD175">
        <v>2.8700755650000001</v>
      </c>
    </row>
    <row r="176" spans="1:35" x14ac:dyDescent="0.25">
      <c r="A176" s="34" t="s">
        <v>199</v>
      </c>
      <c r="B176" t="s">
        <v>218</v>
      </c>
      <c r="C176" t="s">
        <v>220</v>
      </c>
      <c r="W176">
        <v>9.3232475999999995E-2</v>
      </c>
      <c r="X176">
        <v>16.854759520000002</v>
      </c>
      <c r="Y176">
        <v>5.9352347999999999E-2</v>
      </c>
      <c r="Z176">
        <v>1.0734843890000001</v>
      </c>
      <c r="AA176">
        <v>1.430533834</v>
      </c>
      <c r="AB176">
        <v>3.0437896800000002</v>
      </c>
      <c r="AC176">
        <v>15.855257419999999</v>
      </c>
      <c r="AD176">
        <v>2.9177901039999998</v>
      </c>
    </row>
    <row r="177" spans="1:35" x14ac:dyDescent="0.25">
      <c r="A177" s="34" t="s">
        <v>200</v>
      </c>
      <c r="B177" t="s">
        <v>218</v>
      </c>
      <c r="C177" t="s">
        <v>220</v>
      </c>
      <c r="W177">
        <v>7.5917581999999997E-2</v>
      </c>
      <c r="X177">
        <v>21.019342210000001</v>
      </c>
      <c r="Y177">
        <v>4.9072419999999999E-2</v>
      </c>
      <c r="Z177">
        <v>0.86145198700000003</v>
      </c>
      <c r="AA177">
        <v>1.495413383</v>
      </c>
      <c r="AB177">
        <v>3.9890615220000001</v>
      </c>
      <c r="AC177">
        <v>17.69901853</v>
      </c>
      <c r="AD177">
        <v>2.3454040460000001</v>
      </c>
    </row>
    <row r="178" spans="1:35" x14ac:dyDescent="0.25">
      <c r="A178" s="34" t="s">
        <v>201</v>
      </c>
      <c r="B178" t="s">
        <v>218</v>
      </c>
      <c r="C178" t="s">
        <v>220</v>
      </c>
      <c r="W178">
        <v>6.6179552000000003E-2</v>
      </c>
      <c r="X178">
        <v>22.670573040000001</v>
      </c>
      <c r="Y178">
        <v>4.4166235999999998E-2</v>
      </c>
      <c r="Z178">
        <v>0.86986466799999995</v>
      </c>
      <c r="AA178">
        <v>0.36004859299999997</v>
      </c>
      <c r="AB178">
        <v>4.5023485379999997</v>
      </c>
      <c r="AC178">
        <v>18.001233710000001</v>
      </c>
      <c r="AD178">
        <v>2.4266327150000002</v>
      </c>
    </row>
    <row r="179" spans="1:35" x14ac:dyDescent="0.25">
      <c r="A179" s="34" t="s">
        <v>202</v>
      </c>
      <c r="B179" t="s">
        <v>218</v>
      </c>
      <c r="C179" t="s">
        <v>220</v>
      </c>
      <c r="AE179">
        <v>1.01875</v>
      </c>
      <c r="AF179">
        <v>0.38888899999999998</v>
      </c>
      <c r="AG179">
        <v>5.6587860000000001</v>
      </c>
      <c r="AH179">
        <v>26.118639999999999</v>
      </c>
      <c r="AI179">
        <v>1.4919549999999999</v>
      </c>
    </row>
    <row r="180" spans="1:35" x14ac:dyDescent="0.25">
      <c r="A180" s="34" t="s">
        <v>203</v>
      </c>
      <c r="B180" t="s">
        <v>218</v>
      </c>
      <c r="C180" t="s">
        <v>220</v>
      </c>
      <c r="AE180">
        <v>0.75396799999999997</v>
      </c>
      <c r="AF180">
        <v>0.47619099999999998</v>
      </c>
      <c r="AG180">
        <v>5.2479180000000003</v>
      </c>
      <c r="AH180">
        <v>20.102550000000001</v>
      </c>
      <c r="AI180">
        <v>2.0083289999999998</v>
      </c>
    </row>
    <row r="181" spans="1:35" x14ac:dyDescent="0.25">
      <c r="A181" s="34" t="s">
        <v>204</v>
      </c>
      <c r="B181" t="s">
        <v>218</v>
      </c>
      <c r="C181" t="s">
        <v>220</v>
      </c>
      <c r="AE181">
        <v>0.90476199999999996</v>
      </c>
      <c r="AF181">
        <v>0.36210300000000001</v>
      </c>
      <c r="AG181">
        <v>4.3493050000000002</v>
      </c>
      <c r="AH181">
        <v>20.102550000000001</v>
      </c>
      <c r="AI181">
        <v>1.4927349999999999</v>
      </c>
    </row>
    <row r="182" spans="1:35" x14ac:dyDescent="0.25">
      <c r="A182" s="34" t="s">
        <v>205</v>
      </c>
      <c r="B182" t="s">
        <v>218</v>
      </c>
      <c r="C182" t="s">
        <v>220</v>
      </c>
      <c r="AG182">
        <v>6.7989800000000002</v>
      </c>
      <c r="AH182">
        <v>26.118639999999999</v>
      </c>
    </row>
    <row r="183" spans="1:35" x14ac:dyDescent="0.25">
      <c r="A183" s="34" t="s">
        <v>206</v>
      </c>
      <c r="B183" t="s">
        <v>218</v>
      </c>
      <c r="C183" t="s">
        <v>220</v>
      </c>
      <c r="AG183">
        <v>5.3278699999999999</v>
      </c>
      <c r="AH183">
        <v>29.926200000000001</v>
      </c>
    </row>
    <row r="184" spans="1:35" x14ac:dyDescent="0.25">
      <c r="A184" s="34" t="s">
        <v>207</v>
      </c>
      <c r="B184" t="s">
        <v>218</v>
      </c>
      <c r="C184" t="s">
        <v>220</v>
      </c>
      <c r="AE184">
        <v>1.5833330000000001</v>
      </c>
      <c r="AF184">
        <v>0.404194</v>
      </c>
      <c r="AG184">
        <v>6.9189299999999996</v>
      </c>
      <c r="AH184">
        <v>16.433949999999999</v>
      </c>
      <c r="AI184">
        <v>1.676426</v>
      </c>
    </row>
    <row r="185" spans="1:35" x14ac:dyDescent="0.25">
      <c r="A185" s="34" t="s">
        <v>208</v>
      </c>
      <c r="B185" t="s">
        <v>218</v>
      </c>
      <c r="C185" t="s">
        <v>220</v>
      </c>
      <c r="AE185">
        <v>1.181548</v>
      </c>
      <c r="AF185">
        <v>0.53571400000000002</v>
      </c>
      <c r="AG185">
        <v>11.563000000000001</v>
      </c>
      <c r="AH185">
        <v>36.683419999999998</v>
      </c>
      <c r="AI185">
        <v>1.742791</v>
      </c>
    </row>
    <row r="186" spans="1:35" x14ac:dyDescent="0.25">
      <c r="A186" s="34" t="s">
        <v>209</v>
      </c>
      <c r="B186" t="s">
        <v>218</v>
      </c>
      <c r="C186" t="s">
        <v>220</v>
      </c>
      <c r="AE186">
        <v>0.89682499999999998</v>
      </c>
      <c r="AF186">
        <v>0.44642900000000002</v>
      </c>
      <c r="AG186">
        <v>6.254105</v>
      </c>
      <c r="AH186">
        <v>28.073319999999999</v>
      </c>
    </row>
    <row r="187" spans="1:35" x14ac:dyDescent="0.25">
      <c r="A187" s="34" t="s">
        <v>210</v>
      </c>
      <c r="B187" t="s">
        <v>218</v>
      </c>
      <c r="C187" t="s">
        <v>220</v>
      </c>
      <c r="AE187">
        <v>0.77083299999999999</v>
      </c>
      <c r="AF187">
        <v>0.34920600000000002</v>
      </c>
      <c r="AG187">
        <v>4.7928610000000003</v>
      </c>
      <c r="AH187">
        <v>47.249769999999998</v>
      </c>
      <c r="AI187">
        <v>1.5519849999999999</v>
      </c>
    </row>
    <row r="188" spans="1:35" x14ac:dyDescent="0.25">
      <c r="A188" s="34" t="s">
        <v>211</v>
      </c>
      <c r="B188" t="s">
        <v>218</v>
      </c>
      <c r="C188" t="s">
        <v>220</v>
      </c>
      <c r="AE188">
        <v>0.45238099999999998</v>
      </c>
      <c r="AF188">
        <v>0.34115499999999999</v>
      </c>
      <c r="AG188">
        <v>5.3644769999999999</v>
      </c>
      <c r="AH188">
        <v>23.037220000000001</v>
      </c>
      <c r="AI188">
        <v>1.5091110000000001</v>
      </c>
    </row>
    <row r="189" spans="1:35" x14ac:dyDescent="0.25">
      <c r="A189" s="34" t="s">
        <v>212</v>
      </c>
      <c r="B189" t="s">
        <v>218</v>
      </c>
      <c r="C189" t="s">
        <v>220</v>
      </c>
      <c r="AE189">
        <v>1.146825</v>
      </c>
      <c r="AF189">
        <v>0.51091299999999995</v>
      </c>
      <c r="AG189">
        <v>7.1572449999999996</v>
      </c>
      <c r="AH189">
        <v>20.663730000000001</v>
      </c>
      <c r="AI189">
        <v>1.5031810000000001</v>
      </c>
    </row>
    <row r="190" spans="1:35" x14ac:dyDescent="0.25">
      <c r="A190" s="21" t="s">
        <v>50</v>
      </c>
      <c r="D190">
        <f>AVERAGE(D170:D189)</f>
        <v>16</v>
      </c>
      <c r="E190">
        <f t="shared" ref="E190:AI190" si="11">AVERAGE(E170:E189)</f>
        <v>22</v>
      </c>
      <c r="F190" t="e">
        <f t="shared" si="11"/>
        <v>#DIV/0!</v>
      </c>
      <c r="G190" t="e">
        <f t="shared" si="11"/>
        <v>#DIV/0!</v>
      </c>
      <c r="H190" t="e">
        <f t="shared" si="11"/>
        <v>#DIV/0!</v>
      </c>
      <c r="I190" t="e">
        <f t="shared" si="11"/>
        <v>#DIV/0!</v>
      </c>
      <c r="J190" t="e">
        <f t="shared" si="11"/>
        <v>#DIV/0!</v>
      </c>
      <c r="K190">
        <f t="shared" si="11"/>
        <v>0.91059999999999997</v>
      </c>
      <c r="L190">
        <f t="shared" si="11"/>
        <v>1218.1523772472999</v>
      </c>
      <c r="M190">
        <f t="shared" si="11"/>
        <v>43.802754766942662</v>
      </c>
      <c r="N190">
        <f t="shared" si="11"/>
        <v>1.27196890223557</v>
      </c>
      <c r="O190">
        <f t="shared" si="11"/>
        <v>1.332228917853068</v>
      </c>
      <c r="P190">
        <f t="shared" si="11"/>
        <v>6.9662702487742623</v>
      </c>
      <c r="Q190">
        <f t="shared" si="11"/>
        <v>28.966458783830216</v>
      </c>
      <c r="R190">
        <f t="shared" si="11"/>
        <v>44.99999903264942</v>
      </c>
      <c r="S190">
        <f t="shared" si="11"/>
        <v>3.5952122123460217E-2</v>
      </c>
      <c r="T190">
        <f t="shared" si="11"/>
        <v>0.28777985258553301</v>
      </c>
      <c r="U190">
        <f t="shared" si="11"/>
        <v>0.15200929612733227</v>
      </c>
      <c r="V190">
        <f t="shared" si="11"/>
        <v>8.4363890694009624E-2</v>
      </c>
      <c r="W190">
        <f t="shared" si="11"/>
        <v>7.0568765749999984E-2</v>
      </c>
      <c r="X190">
        <f t="shared" si="11"/>
        <v>26.490352035000001</v>
      </c>
      <c r="Y190">
        <f t="shared" si="11"/>
        <v>4.3687466000000001E-2</v>
      </c>
      <c r="Z190">
        <f t="shared" si="11"/>
        <v>0.8571905125</v>
      </c>
      <c r="AA190">
        <f t="shared" si="11"/>
        <v>1.31744817475</v>
      </c>
      <c r="AB190">
        <f t="shared" si="11"/>
        <v>5.3598634672499994</v>
      </c>
      <c r="AC190">
        <f t="shared" si="11"/>
        <v>18.938051110000004</v>
      </c>
      <c r="AD190">
        <f t="shared" si="11"/>
        <v>2.6399756075000003</v>
      </c>
      <c r="AE190">
        <f t="shared" si="11"/>
        <v>0.96769166666666662</v>
      </c>
      <c r="AF190">
        <f t="shared" si="11"/>
        <v>0.42386600000000008</v>
      </c>
      <c r="AG190">
        <f t="shared" si="11"/>
        <v>6.312134272727274</v>
      </c>
      <c r="AH190">
        <f t="shared" si="11"/>
        <v>26.773635454545452</v>
      </c>
      <c r="AI190">
        <f t="shared" si="11"/>
        <v>1.6220641250000001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Vascular Age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balu balu</cp:lastModifiedBy>
  <dcterms:created xsi:type="dcterms:W3CDTF">2026-03-30T00:51:41Z</dcterms:created>
  <dcterms:modified xsi:type="dcterms:W3CDTF">2026-07-15T04:57:43Z</dcterms:modified>
</cp:coreProperties>
</file>